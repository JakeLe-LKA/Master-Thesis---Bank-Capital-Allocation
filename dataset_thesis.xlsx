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Master Thesis/"/>
    </mc:Choice>
  </mc:AlternateContent>
  <xr:revisionPtr revIDLastSave="0" documentId="13_ncr:1_{BDB0D8CF-C04D-7B46-A091-15773C6255FA}" xr6:coauthVersionLast="47" xr6:coauthVersionMax="47" xr10:uidLastSave="{00000000-0000-0000-0000-000000000000}"/>
  <bookViews>
    <workbookView xWindow="0" yWindow="500" windowWidth="25960" windowHeight="21100" xr2:uid="{F4BF920A-7262-1945-8987-15B7A901C0EF}"/>
  </bookViews>
  <sheets>
    <sheet name="bs_rates_ovt" sheetId="1" r:id="rId1"/>
    <sheet name="Sheet6" sheetId="6" r:id="rId2"/>
    <sheet name="hqla_haircut" sheetId="3" r:id="rId3"/>
    <sheet name="liquidity_runoff_r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" i="1"/>
</calcChain>
</file>

<file path=xl/sharedStrings.xml><?xml version="1.0" encoding="utf-8"?>
<sst xmlns="http://schemas.openxmlformats.org/spreadsheetml/2006/main" count="56" uniqueCount="33">
  <si>
    <t>cash_reserve</t>
  </si>
  <si>
    <t>interbank_lending</t>
  </si>
  <si>
    <t>government_bonds</t>
  </si>
  <si>
    <t>corporate_bonds</t>
  </si>
  <si>
    <t>government_loans</t>
  </si>
  <si>
    <t>domestic_loans</t>
  </si>
  <si>
    <t>period</t>
  </si>
  <si>
    <t>total_assets</t>
  </si>
  <si>
    <t>government_bonds_rate</t>
  </si>
  <si>
    <t>interbank_lending_rate</t>
  </si>
  <si>
    <t>corporate_bonds_rates</t>
  </si>
  <si>
    <t>government_loans_rate</t>
  </si>
  <si>
    <t>domestic_loans_rate</t>
  </si>
  <si>
    <t>domestic_loans_rates</t>
  </si>
  <si>
    <t>deposits_overnight</t>
  </si>
  <si>
    <t>deposits_with_agreed_maturity</t>
  </si>
  <si>
    <t>deposits_repos</t>
  </si>
  <si>
    <t>deposits_to_central_government</t>
  </si>
  <si>
    <t>debt_securities_issued</t>
  </si>
  <si>
    <t>assets</t>
  </si>
  <si>
    <t>haircut</t>
  </si>
  <si>
    <t>hqla_level</t>
  </si>
  <si>
    <t>level 1</t>
  </si>
  <si>
    <t>not hqla</t>
  </si>
  <si>
    <t>level 2A</t>
  </si>
  <si>
    <t>liability</t>
  </si>
  <si>
    <t>inflow_rate</t>
  </si>
  <si>
    <t>runoff_rate_min</t>
  </si>
  <si>
    <t>runoff_rate_max</t>
  </si>
  <si>
    <t>corporate_bonds_rate</t>
  </si>
  <si>
    <t>total_liabilities</t>
  </si>
  <si>
    <t>interbank_borrowing</t>
  </si>
  <si>
    <t>other_funding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</si>
</sst>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2"/>
      <color indexed="12"/>
      <name val="Times New Roman CE"/>
      <family val="2"/>
      <charset val="238"/>
    </font>
    <font>
      <sz val="10"/>
      <color theme="1"/>
      <name val="Times New Roman"/>
      <family val="2"/>
    </font>
    <font>
      <b/>
      <sz val="10"/>
      <color rgb="FF3F3F3F"/>
      <name val="Arial"/>
      <family val="2"/>
      <charset val="238"/>
    </font>
    <font>
      <sz val="10"/>
      <color rgb="FF000000"/>
      <name val="Courier"/>
      <family val="3"/>
    </font>
    <font>
      <sz val="11"/>
      <color theme="10"/>
      <name val="Aptos Narrow"/>
      <family val="2"/>
      <charset val="238"/>
      <scheme val="minor"/>
    </font>
    <font>
      <sz val="12"/>
      <color rgb="FF0000FF"/>
      <name val="Times New Roman CE"/>
      <family val="2"/>
      <charset val="238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9"/>
      </top>
      <bottom/>
      <diagonal/>
    </border>
  </borders>
  <cellStyleXfs count="10">
    <xf numFmtId="0" fontId="0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7" fillId="2" borderId="1"/>
    <xf numFmtId="0" fontId="4" fillId="0" borderId="0"/>
    <xf numFmtId="0" fontId="8" fillId="0" borderId="0"/>
    <xf numFmtId="0" fontId="9" fillId="0" borderId="0"/>
    <xf numFmtId="0" fontId="10" fillId="0" borderId="0"/>
  </cellStyleXfs>
  <cellXfs count="7">
    <xf numFmtId="0" fontId="0" fillId="0" borderId="0" xfId="0"/>
    <xf numFmtId="17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1" fillId="3" borderId="0" xfId="0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0">
    <cellStyle name="Dane wyjściowe 2" xfId="5" xr:uid="{6CC68A3B-9D23-D24D-B1BE-761C6F97AD1E}"/>
    <cellStyle name="Hiperłącze 2" xfId="8" xr:uid="{57460AD9-362F-B74E-A85F-829F0C1A123F}"/>
    <cellStyle name="Hiperłącze 3" xfId="9" xr:uid="{8CE1633B-ECCC-A845-97B7-F631A7D27113}"/>
    <cellStyle name="Hiperłącze 3 2" xfId="3" xr:uid="{7D6BBB24-8E23-C641-B3BB-830736194F40}"/>
    <cellStyle name="Normal" xfId="0" builtinId="0"/>
    <cellStyle name="Normal 4" xfId="4" xr:uid="{C3AA16C4-A2C8-814F-B062-985CA3BA70F6}"/>
    <cellStyle name="Normalny 2" xfId="2" xr:uid="{B2EA4F8A-E277-434E-BCA8-F5E2C38CF6C8}"/>
    <cellStyle name="Normalny 2 2" xfId="6" xr:uid="{1F19B20B-F783-4A41-9A72-BD290DE4D482}"/>
    <cellStyle name="Normalny 3" xfId="1" xr:uid="{CCA60341-971F-F645-842E-A3BE79E41F83}"/>
    <cellStyle name="Styl 1" xfId="7" xr:uid="{4D2A3EF7-B822-C945-8F91-DD223E796258}"/>
  </cellStyles>
  <dxfs count="1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9" tint="0.39997558519241921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FD13A-EAB9-F647-A239-086561211308}" name="bs_rates_ovt" displayName="bs_rates_ovt" ref="A1:U253" totalsRowShown="0" headerRowDxfId="14">
  <autoFilter ref="A1:U253" xr:uid="{F94FD13A-EAB9-F647-A239-086561211308}"/>
  <tableColumns count="21">
    <tableColumn id="1" xr3:uid="{8E82B08B-BE4E-DC4D-9D0D-912996578E75}" name="period" dataDxfId="13"/>
    <tableColumn id="2" xr3:uid="{0283B725-40E9-BD4C-8E53-90DC3C1CF1FA}" name="cash_reserve"/>
    <tableColumn id="3" xr3:uid="{293DC31A-3F39-2941-95E6-2BE0A1EC4031}" name="interbank_lending"/>
    <tableColumn id="4" xr3:uid="{7FF24EB4-5034-B84B-A04A-402BA26CB865}" name="government_bonds"/>
    <tableColumn id="5" xr3:uid="{C4CFD36C-45E3-874E-9885-2984DAFB7A38}" name="corporate_bonds"/>
    <tableColumn id="6" xr3:uid="{F55B1D66-BABB-D54B-A75F-693C8D049908}" name="government_loans"/>
    <tableColumn id="7" xr3:uid="{6017F066-A9A2-7F4F-963D-ABB58537FBD0}" name="domestic_loans" dataDxfId="12"/>
    <tableColumn id="8" xr3:uid="{8C14DA26-1EE8-8743-B4A1-833B026EA85F}" name="total_assets"/>
    <tableColumn id="9" xr3:uid="{BA78B469-758F-8146-9DF9-106CBD95858B}" name="interbank_lending_rate" dataDxfId="11"/>
    <tableColumn id="10" xr3:uid="{6EEFB53F-BFA6-E046-99D2-FEFA68D0753C}" name="government_bonds_rate" dataDxfId="10"/>
    <tableColumn id="11" xr3:uid="{C2B58CC6-EBD4-754B-A8D9-99973A5BEE35}" name="corporate_bonds_rate" dataDxfId="9">
      <calculatedColumnFormula>J2+2</calculatedColumnFormula>
    </tableColumn>
    <tableColumn id="12" xr3:uid="{5AF873DA-88E6-AF49-9D4A-92C0E66EE702}" name="government_loans_rate" dataDxfId="8">
      <calculatedColumnFormula>J2+0.5</calculatedColumnFormula>
    </tableColumn>
    <tableColumn id="13" xr3:uid="{BF018724-FC9B-2B41-A1E8-29E0C43DCC49}" name="domestic_loans_rate"/>
    <tableColumn id="14" xr3:uid="{810CB9E1-5646-734C-BE4B-F99ECA7500BF}" name="deposits_overnight" dataDxfId="7"/>
    <tableColumn id="15" xr3:uid="{897F70BC-A5E8-7F4D-AD90-303B9E8BF4B7}" name="deposits_with_agreed_maturity" dataDxfId="6"/>
    <tableColumn id="16" xr3:uid="{49BDA82F-49C5-1948-9058-E69BE6B58A1B}" name="deposits_repos" dataDxfId="5"/>
    <tableColumn id="17" xr3:uid="{52177C27-0EE9-234A-94A2-FF2488258AF2}" name="deposits_to_central_government" dataDxfId="4"/>
    <tableColumn id="18" xr3:uid="{793A0969-228C-AB4A-9418-CFC4196B4B7B}" name="debt_securities_issued" dataDxfId="3"/>
    <tableColumn id="20" xr3:uid="{58068515-BAE7-8647-A833-B84CA0AAFCA4}" name="interbank_borrowing" dataDxfId="2"/>
    <tableColumn id="21" xr3:uid="{68F2B2B9-E2E1-D240-ADA4-1AB5EADE1730}" name="other_funding" dataDxfId="1"/>
    <tableColumn id="19" xr3:uid="{3C8D6821-EF77-F548-8E9B-A8A5135006EB}" name="total_liabilities" dataDxfId="0">
      <calculatedColumnFormula>SUM(bs_rates_ovt[[#This Row],[deposits_overnight]:[other_funding]])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2C5F-028B-DC4F-A5C9-AA7B81F468AA}">
  <dimension ref="A1:U253"/>
  <sheetViews>
    <sheetView tabSelected="1" topLeftCell="M1" workbookViewId="0">
      <selection activeCell="T5" sqref="T5"/>
    </sheetView>
  </sheetViews>
  <sheetFormatPr baseColWidth="10" defaultRowHeight="16"/>
  <cols>
    <col min="1" max="20" width="24.1640625" customWidth="1"/>
    <col min="21" max="21" width="15.5" customWidth="1"/>
  </cols>
  <sheetData>
    <row r="1" spans="1:21" ht="32" customHeight="1">
      <c r="A1" s="4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7</v>
      </c>
      <c r="I1" s="4" t="s">
        <v>9</v>
      </c>
      <c r="J1" s="4" t="s">
        <v>8</v>
      </c>
      <c r="K1" s="6" t="s">
        <v>29</v>
      </c>
      <c r="L1" s="4" t="s">
        <v>11</v>
      </c>
      <c r="M1" s="6" t="s">
        <v>12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6" t="s">
        <v>31</v>
      </c>
      <c r="T1" s="6" t="s">
        <v>32</v>
      </c>
      <c r="U1" s="4" t="s">
        <v>30</v>
      </c>
    </row>
    <row r="2" spans="1:21">
      <c r="A2" s="1">
        <v>38353</v>
      </c>
      <c r="B2">
        <v>34481.4</v>
      </c>
      <c r="C2">
        <v>214563.88399999999</v>
      </c>
      <c r="D2">
        <v>93851.199999999997</v>
      </c>
      <c r="E2">
        <v>2654.5</v>
      </c>
      <c r="F2">
        <v>20576.5</v>
      </c>
      <c r="G2" s="3">
        <v>247352.5</v>
      </c>
      <c r="H2">
        <v>613479.98399999994</v>
      </c>
      <c r="I2" s="2">
        <v>6.2766666666666699</v>
      </c>
      <c r="J2" s="2">
        <v>5.97</v>
      </c>
      <c r="K2" s="2">
        <f>J2+2</f>
        <v>7.97</v>
      </c>
      <c r="L2" s="2">
        <f>J2+0.5</f>
        <v>6.47</v>
      </c>
      <c r="M2">
        <v>9.629999999999999</v>
      </c>
      <c r="N2" s="2">
        <v>129701.394</v>
      </c>
      <c r="O2" s="2">
        <v>198081</v>
      </c>
      <c r="P2" s="2">
        <v>7186.7889999999998</v>
      </c>
      <c r="Q2" s="2">
        <v>39776.1</v>
      </c>
      <c r="R2" s="2">
        <v>5797.1</v>
      </c>
      <c r="S2" s="2">
        <v>56680.964</v>
      </c>
      <c r="T2" s="2">
        <v>71417.600000000006</v>
      </c>
      <c r="U2" s="2">
        <f>SUM(bs_rates_ovt[[#This Row],[deposits_overnight]:[other_funding]])</f>
        <v>508640.94699999993</v>
      </c>
    </row>
    <row r="3" spans="1:21">
      <c r="A3" s="1">
        <v>38384</v>
      </c>
      <c r="B3">
        <v>39765</v>
      </c>
      <c r="C3">
        <v>214348.59</v>
      </c>
      <c r="D3">
        <v>93390.7</v>
      </c>
      <c r="E3">
        <v>2506.6999999999998</v>
      </c>
      <c r="F3">
        <v>20290.099999999999</v>
      </c>
      <c r="G3" s="3">
        <v>247147.6</v>
      </c>
      <c r="H3">
        <v>617448.68999999994</v>
      </c>
      <c r="I3" s="2">
        <v>5.9544444444444462</v>
      </c>
      <c r="J3" s="2">
        <v>5.73</v>
      </c>
      <c r="K3" s="2">
        <f t="shared" ref="K3:K66" si="0">J3+2</f>
        <v>7.73</v>
      </c>
      <c r="L3" s="2">
        <f t="shared" ref="L3:L66" si="1">J3+0.5</f>
        <v>6.23</v>
      </c>
      <c r="M3">
        <v>9.7000000000000011</v>
      </c>
      <c r="N3" s="2">
        <v>135107.97</v>
      </c>
      <c r="O3" s="2">
        <v>197251.9</v>
      </c>
      <c r="P3" s="2">
        <v>6929.1970000000001</v>
      </c>
      <c r="Q3" s="2">
        <v>36433.699999999997</v>
      </c>
      <c r="R3" s="2">
        <v>5777.1</v>
      </c>
      <c r="S3" s="2">
        <v>56882.32</v>
      </c>
      <c r="T3" s="2">
        <v>72651.3</v>
      </c>
      <c r="U3" s="2">
        <f>SUM(bs_rates_ovt[[#This Row],[deposits_overnight]:[other_funding]])</f>
        <v>511033.48699999996</v>
      </c>
    </row>
    <row r="4" spans="1:21">
      <c r="A4" s="1">
        <v>38412</v>
      </c>
      <c r="B4">
        <v>33904.699999999997</v>
      </c>
      <c r="C4">
        <v>212005.54699999999</v>
      </c>
      <c r="D4">
        <v>96831.5</v>
      </c>
      <c r="E4">
        <v>2191</v>
      </c>
      <c r="F4">
        <v>21574.5</v>
      </c>
      <c r="G4" s="3">
        <v>251358.4</v>
      </c>
      <c r="H4">
        <v>617865.647</v>
      </c>
      <c r="I4" s="2">
        <v>5.6322222222222234</v>
      </c>
      <c r="J4" s="2">
        <v>5.55</v>
      </c>
      <c r="K4" s="2">
        <f t="shared" si="0"/>
        <v>7.55</v>
      </c>
      <c r="L4" s="2">
        <f t="shared" si="1"/>
        <v>6.05</v>
      </c>
      <c r="M4">
        <v>9.36</v>
      </c>
      <c r="N4" s="2">
        <v>138514.177</v>
      </c>
      <c r="O4" s="2">
        <v>201900.4</v>
      </c>
      <c r="P4" s="2">
        <v>7272.0870000000004</v>
      </c>
      <c r="Q4" s="2">
        <v>26665.599999999999</v>
      </c>
      <c r="R4" s="2">
        <v>6166.7</v>
      </c>
      <c r="S4" s="2">
        <v>57254.373</v>
      </c>
      <c r="T4" s="2">
        <v>73282.8</v>
      </c>
      <c r="U4" s="2">
        <f>SUM(bs_rates_ovt[[#This Row],[deposits_overnight]:[other_funding]])</f>
        <v>511056.13699999999</v>
      </c>
    </row>
    <row r="5" spans="1:21">
      <c r="A5" s="1">
        <v>38443</v>
      </c>
      <c r="B5">
        <v>33471.9</v>
      </c>
      <c r="C5">
        <v>231201.02799999999</v>
      </c>
      <c r="D5">
        <v>92974.1</v>
      </c>
      <c r="E5">
        <v>1979.9</v>
      </c>
      <c r="F5">
        <v>20370</v>
      </c>
      <c r="G5" s="3">
        <v>259738.6</v>
      </c>
      <c r="H5">
        <v>639735.52800000005</v>
      </c>
      <c r="I5" s="2">
        <v>5.31</v>
      </c>
      <c r="J5" s="2">
        <v>5.49</v>
      </c>
      <c r="K5" s="2">
        <f t="shared" si="0"/>
        <v>7.49</v>
      </c>
      <c r="L5" s="2">
        <f t="shared" si="1"/>
        <v>5.99</v>
      </c>
      <c r="M5">
        <v>9.2100000000000009</v>
      </c>
      <c r="N5" s="2">
        <v>132440.01999999999</v>
      </c>
      <c r="O5" s="2">
        <v>211162.8</v>
      </c>
      <c r="P5" s="2">
        <v>8575.0930000000008</v>
      </c>
      <c r="Q5" s="2">
        <v>33390.400000000001</v>
      </c>
      <c r="R5" s="2">
        <v>6211.9</v>
      </c>
      <c r="S5" s="2">
        <v>58881.946000000004</v>
      </c>
      <c r="T5" s="2">
        <v>79578.399999999994</v>
      </c>
      <c r="U5" s="2">
        <f>SUM(bs_rates_ovt[[#This Row],[deposits_overnight]:[other_funding]])</f>
        <v>530240.55900000001</v>
      </c>
    </row>
    <row r="6" spans="1:21">
      <c r="A6" s="1">
        <v>38473</v>
      </c>
      <c r="B6">
        <v>30983.200000000001</v>
      </c>
      <c r="C6">
        <v>235563.66800000001</v>
      </c>
      <c r="D6">
        <v>92325.2</v>
      </c>
      <c r="E6">
        <v>2251.9</v>
      </c>
      <c r="F6">
        <v>19127.400000000001</v>
      </c>
      <c r="G6" s="3">
        <v>266264.2</v>
      </c>
      <c r="H6">
        <v>646515.56800000009</v>
      </c>
      <c r="I6" s="2">
        <v>5.0699999999999994</v>
      </c>
      <c r="J6" s="2">
        <v>5.35</v>
      </c>
      <c r="K6" s="2">
        <f t="shared" si="0"/>
        <v>7.35</v>
      </c>
      <c r="L6" s="2">
        <f t="shared" si="1"/>
        <v>5.85</v>
      </c>
      <c r="M6">
        <v>8.91</v>
      </c>
      <c r="N6" s="2">
        <v>146275.041</v>
      </c>
      <c r="O6" s="2">
        <v>204489.4</v>
      </c>
      <c r="P6" s="2">
        <v>9711.2929999999997</v>
      </c>
      <c r="Q6" s="2">
        <v>34782.9</v>
      </c>
      <c r="R6" s="2">
        <v>8104.6</v>
      </c>
      <c r="S6" s="2">
        <v>57318.512999999999</v>
      </c>
      <c r="T6" s="2">
        <v>74097</v>
      </c>
      <c r="U6" s="2">
        <f>SUM(bs_rates_ovt[[#This Row],[deposits_overnight]:[other_funding]])</f>
        <v>534778.74699999997</v>
      </c>
    </row>
    <row r="7" spans="1:21">
      <c r="A7" s="1">
        <v>38504</v>
      </c>
      <c r="B7">
        <v>25702.1</v>
      </c>
      <c r="C7">
        <v>235051.72099999999</v>
      </c>
      <c r="D7">
        <v>94016.8</v>
      </c>
      <c r="E7">
        <v>2169.9</v>
      </c>
      <c r="F7">
        <v>19524.099999999999</v>
      </c>
      <c r="G7" s="3">
        <v>262148.40000000002</v>
      </c>
      <c r="H7">
        <v>638613.02099999995</v>
      </c>
      <c r="I7" s="2">
        <v>4.83</v>
      </c>
      <c r="J7" s="2">
        <v>4.91</v>
      </c>
      <c r="K7" s="2">
        <f t="shared" si="0"/>
        <v>6.91</v>
      </c>
      <c r="L7" s="2">
        <f t="shared" si="1"/>
        <v>5.41</v>
      </c>
      <c r="M7">
        <v>8.83</v>
      </c>
      <c r="N7" s="2">
        <v>145150.96599999999</v>
      </c>
      <c r="O7" s="2">
        <v>202779.2</v>
      </c>
      <c r="P7" s="2">
        <v>11209.683000000001</v>
      </c>
      <c r="Q7" s="2">
        <v>37747.1</v>
      </c>
      <c r="R7" s="2">
        <v>9333</v>
      </c>
      <c r="S7" s="2">
        <v>55543.472000000002</v>
      </c>
      <c r="T7" s="2">
        <v>65048.1</v>
      </c>
      <c r="U7" s="2">
        <f>SUM(bs_rates_ovt[[#This Row],[deposits_overnight]:[other_funding]])</f>
        <v>526811.52099999995</v>
      </c>
    </row>
    <row r="8" spans="1:21">
      <c r="A8" s="1">
        <v>38534</v>
      </c>
      <c r="B8">
        <v>26444.2</v>
      </c>
      <c r="C8">
        <v>234979.18900000001</v>
      </c>
      <c r="D8">
        <v>91719.7</v>
      </c>
      <c r="E8">
        <v>2253.8000000000002</v>
      </c>
      <c r="F8">
        <v>18300.8</v>
      </c>
      <c r="G8" s="3">
        <v>264837.09999999998</v>
      </c>
      <c r="H8">
        <v>638534.78899999999</v>
      </c>
      <c r="I8" s="2">
        <v>4.59</v>
      </c>
      <c r="J8" s="2">
        <v>4.72</v>
      </c>
      <c r="K8" s="2">
        <f t="shared" si="0"/>
        <v>6.72</v>
      </c>
      <c r="L8" s="2">
        <f t="shared" si="1"/>
        <v>5.22</v>
      </c>
      <c r="M8">
        <v>8.43</v>
      </c>
      <c r="N8" s="2">
        <v>141946.58100000001</v>
      </c>
      <c r="O8" s="2">
        <v>205274.2</v>
      </c>
      <c r="P8" s="2">
        <v>8782.3719999999994</v>
      </c>
      <c r="Q8" s="2">
        <v>40601.699999999997</v>
      </c>
      <c r="R8" s="2">
        <v>9046.5</v>
      </c>
      <c r="S8" s="2">
        <v>53534.021999999997</v>
      </c>
      <c r="T8" s="2">
        <v>65051.1</v>
      </c>
      <c r="U8" s="2">
        <f>SUM(bs_rates_ovt[[#This Row],[deposits_overnight]:[other_funding]])</f>
        <v>524236.47499999998</v>
      </c>
    </row>
    <row r="9" spans="1:21">
      <c r="A9" s="1">
        <v>38565</v>
      </c>
      <c r="B9">
        <v>26879.8</v>
      </c>
      <c r="C9">
        <v>238550.51</v>
      </c>
      <c r="D9">
        <v>86049.9</v>
      </c>
      <c r="E9">
        <v>2130.3000000000002</v>
      </c>
      <c r="F9">
        <v>19694.2</v>
      </c>
      <c r="G9" s="3">
        <v>267528.8</v>
      </c>
      <c r="H9">
        <v>640833.51</v>
      </c>
      <c r="I9" s="2">
        <v>4.5988888888888901</v>
      </c>
      <c r="J9" s="2">
        <v>4.88</v>
      </c>
      <c r="K9" s="2">
        <f t="shared" si="0"/>
        <v>6.88</v>
      </c>
      <c r="L9" s="2">
        <f t="shared" si="1"/>
        <v>5.38</v>
      </c>
      <c r="M9">
        <v>8.2799999999999994</v>
      </c>
      <c r="N9" s="2">
        <v>149302.69</v>
      </c>
      <c r="O9" s="2">
        <v>204099.8</v>
      </c>
      <c r="P9" s="2">
        <v>9131.9369999999999</v>
      </c>
      <c r="Q9" s="2">
        <v>34821.1</v>
      </c>
      <c r="R9" s="2">
        <v>8882.9</v>
      </c>
      <c r="S9" s="2">
        <v>53843.993999999999</v>
      </c>
      <c r="T9" s="2">
        <v>65789.3</v>
      </c>
      <c r="U9" s="2">
        <f>SUM(bs_rates_ovt[[#This Row],[deposits_overnight]:[other_funding]])</f>
        <v>525871.72100000002</v>
      </c>
    </row>
    <row r="10" spans="1:21">
      <c r="A10" s="1">
        <v>38596</v>
      </c>
      <c r="B10">
        <v>26609.3</v>
      </c>
      <c r="C10">
        <v>233683.10500000001</v>
      </c>
      <c r="D10">
        <v>89306.6</v>
      </c>
      <c r="E10">
        <v>1928.7</v>
      </c>
      <c r="F10">
        <v>20311.5</v>
      </c>
      <c r="G10" s="3">
        <v>269924.40000000002</v>
      </c>
      <c r="H10">
        <v>641763.60499999998</v>
      </c>
      <c r="I10" s="2">
        <v>4.6077777777777795</v>
      </c>
      <c r="J10" s="2">
        <v>4.57</v>
      </c>
      <c r="K10" s="2">
        <f t="shared" si="0"/>
        <v>6.57</v>
      </c>
      <c r="L10" s="2">
        <f t="shared" si="1"/>
        <v>5.07</v>
      </c>
      <c r="M10">
        <v>8.129999999999999</v>
      </c>
      <c r="N10" s="2">
        <v>148260.67600000001</v>
      </c>
      <c r="O10" s="2">
        <v>209253.1</v>
      </c>
      <c r="P10" s="2">
        <v>9603.9760000000006</v>
      </c>
      <c r="Q10" s="2">
        <v>33934.5</v>
      </c>
      <c r="R10" s="2">
        <v>8310.9</v>
      </c>
      <c r="S10" s="2">
        <v>56231.135999999999</v>
      </c>
      <c r="T10" s="2">
        <v>61273.2</v>
      </c>
      <c r="U10" s="2">
        <f>SUM(bs_rates_ovt[[#This Row],[deposits_overnight]:[other_funding]])</f>
        <v>526867.48800000001</v>
      </c>
    </row>
    <row r="11" spans="1:21">
      <c r="A11" s="1">
        <v>38626</v>
      </c>
      <c r="B11">
        <v>27194.2</v>
      </c>
      <c r="C11">
        <v>243820.59400000001</v>
      </c>
      <c r="D11">
        <v>89055.3</v>
      </c>
      <c r="E11">
        <v>2076.6999999999998</v>
      </c>
      <c r="F11">
        <v>20174.5</v>
      </c>
      <c r="G11" s="3">
        <v>275097.90000000002</v>
      </c>
      <c r="H11">
        <v>657419.19400000002</v>
      </c>
      <c r="I11" s="2">
        <v>4.6166666666666698</v>
      </c>
      <c r="J11" s="2">
        <v>4.91</v>
      </c>
      <c r="K11" s="2">
        <f t="shared" si="0"/>
        <v>6.91</v>
      </c>
      <c r="L11" s="2">
        <f t="shared" si="1"/>
        <v>5.41</v>
      </c>
      <c r="M11">
        <v>7.9699999999999989</v>
      </c>
      <c r="N11" s="2">
        <v>151800.74100000001</v>
      </c>
      <c r="O11" s="2">
        <v>210597.9</v>
      </c>
      <c r="P11" s="2">
        <v>12295.531999999999</v>
      </c>
      <c r="Q11" s="2">
        <v>34674</v>
      </c>
      <c r="R11" s="2">
        <v>8661.6</v>
      </c>
      <c r="S11" s="2">
        <v>61299.345999999998</v>
      </c>
      <c r="T11" s="2">
        <v>63316</v>
      </c>
      <c r="U11" s="2">
        <f>SUM(bs_rates_ovt[[#This Row],[deposits_overnight]:[other_funding]])</f>
        <v>542645.11899999995</v>
      </c>
    </row>
    <row r="12" spans="1:21">
      <c r="A12" s="1">
        <v>38657</v>
      </c>
      <c r="B12">
        <v>26700.6</v>
      </c>
      <c r="C12">
        <v>237585.788</v>
      </c>
      <c r="D12">
        <v>87117.9</v>
      </c>
      <c r="E12">
        <v>2037.2</v>
      </c>
      <c r="F12">
        <v>22690</v>
      </c>
      <c r="G12" s="3">
        <v>276938.8</v>
      </c>
      <c r="H12">
        <v>653070.28799999994</v>
      </c>
      <c r="I12" s="2">
        <v>4.4922222222222228</v>
      </c>
      <c r="J12" s="2">
        <v>5.38</v>
      </c>
      <c r="K12" s="2">
        <f t="shared" si="0"/>
        <v>7.38</v>
      </c>
      <c r="L12" s="2">
        <f t="shared" si="1"/>
        <v>5.88</v>
      </c>
      <c r="M12">
        <v>8.1100000000000012</v>
      </c>
      <c r="N12" s="2">
        <v>158695.753</v>
      </c>
      <c r="O12" s="2">
        <v>204769.8</v>
      </c>
      <c r="P12" s="2">
        <v>10123.734</v>
      </c>
      <c r="Q12" s="2">
        <v>33449.9</v>
      </c>
      <c r="R12" s="2">
        <v>8806.1</v>
      </c>
      <c r="S12" s="2">
        <v>58910.385999999999</v>
      </c>
      <c r="T12" s="2">
        <v>64576.1</v>
      </c>
      <c r="U12" s="2">
        <f>SUM(bs_rates_ovt[[#This Row],[deposits_overnight]:[other_funding]])</f>
        <v>539331.77299999993</v>
      </c>
    </row>
    <row r="13" spans="1:21">
      <c r="A13" s="1">
        <v>38687</v>
      </c>
      <c r="B13">
        <v>20551.7</v>
      </c>
      <c r="C13">
        <v>236347.315</v>
      </c>
      <c r="D13">
        <v>91642.8</v>
      </c>
      <c r="E13">
        <v>2489.1999999999998</v>
      </c>
      <c r="F13">
        <v>21507.200000000001</v>
      </c>
      <c r="G13" s="3">
        <v>276364.79999999999</v>
      </c>
      <c r="H13">
        <v>648903.01500000001</v>
      </c>
      <c r="I13" s="2">
        <v>4.3677777777777766</v>
      </c>
      <c r="J13" s="2">
        <v>5.16</v>
      </c>
      <c r="K13" s="2">
        <f t="shared" si="0"/>
        <v>7.16</v>
      </c>
      <c r="L13" s="2">
        <f t="shared" si="1"/>
        <v>5.66</v>
      </c>
      <c r="M13">
        <v>7.9699999999999989</v>
      </c>
      <c r="N13" s="2">
        <v>163484.31700000001</v>
      </c>
      <c r="O13" s="2">
        <v>204784.9</v>
      </c>
      <c r="P13" s="2">
        <v>9761.4940000000006</v>
      </c>
      <c r="Q13" s="2">
        <v>29798.3</v>
      </c>
      <c r="R13" s="2">
        <v>9340.7999999999993</v>
      </c>
      <c r="S13" s="2">
        <v>60315.434999999998</v>
      </c>
      <c r="T13" s="2">
        <v>58238.6</v>
      </c>
      <c r="U13" s="2">
        <f>SUM(bs_rates_ovt[[#This Row],[deposits_overnight]:[other_funding]])</f>
        <v>535723.84600000002</v>
      </c>
    </row>
    <row r="14" spans="1:21">
      <c r="A14" s="1">
        <v>38718</v>
      </c>
      <c r="B14">
        <v>25222.3</v>
      </c>
      <c r="C14">
        <v>235851.386</v>
      </c>
      <c r="D14">
        <v>93056.2</v>
      </c>
      <c r="E14">
        <v>2660.3</v>
      </c>
      <c r="F14">
        <v>20560</v>
      </c>
      <c r="G14" s="3">
        <v>279583.7</v>
      </c>
      <c r="H14">
        <v>656933.88599999994</v>
      </c>
      <c r="I14" s="2">
        <v>4.2433333333333296</v>
      </c>
      <c r="J14" s="2">
        <v>4.95</v>
      </c>
      <c r="K14" s="2">
        <f t="shared" si="0"/>
        <v>6.95</v>
      </c>
      <c r="L14" s="2">
        <f t="shared" si="1"/>
        <v>5.45</v>
      </c>
      <c r="M14">
        <v>7.93</v>
      </c>
      <c r="N14" s="2">
        <v>161998.74100000001</v>
      </c>
      <c r="O14" s="2">
        <v>203056.2</v>
      </c>
      <c r="P14" s="2">
        <v>9113.9869999999992</v>
      </c>
      <c r="Q14" s="2">
        <v>39392.699999999997</v>
      </c>
      <c r="R14" s="2">
        <v>9877.7000000000007</v>
      </c>
      <c r="S14" s="2">
        <v>60369.163999999997</v>
      </c>
      <c r="T14" s="2">
        <v>60290.5</v>
      </c>
      <c r="U14" s="2">
        <f>SUM(bs_rates_ovt[[#This Row],[deposits_overnight]:[other_funding]])</f>
        <v>544098.99200000009</v>
      </c>
    </row>
    <row r="15" spans="1:21">
      <c r="A15" s="1">
        <v>38749</v>
      </c>
      <c r="B15">
        <v>27690.3</v>
      </c>
      <c r="C15">
        <v>248721.049</v>
      </c>
      <c r="D15">
        <v>94186</v>
      </c>
      <c r="E15">
        <v>2501.3000000000002</v>
      </c>
      <c r="F15">
        <v>20606.900000000001</v>
      </c>
      <c r="G15" s="3">
        <v>281771.8</v>
      </c>
      <c r="H15">
        <v>675477.34899999993</v>
      </c>
      <c r="I15" s="2">
        <v>4.2166666666666632</v>
      </c>
      <c r="J15" s="2">
        <v>4.79</v>
      </c>
      <c r="K15" s="2">
        <f t="shared" si="0"/>
        <v>6.79</v>
      </c>
      <c r="L15" s="2">
        <f t="shared" si="1"/>
        <v>5.29</v>
      </c>
      <c r="M15">
        <v>7.870000000000001</v>
      </c>
      <c r="N15" s="2">
        <v>168157.22099999999</v>
      </c>
      <c r="O15" s="2">
        <v>202618.6</v>
      </c>
      <c r="P15" s="2">
        <v>11675.281999999999</v>
      </c>
      <c r="Q15" s="2">
        <v>42986.5</v>
      </c>
      <c r="R15" s="2">
        <v>9706.7000000000007</v>
      </c>
      <c r="S15" s="2">
        <v>63184.661999999997</v>
      </c>
      <c r="T15" s="2">
        <v>63028.4</v>
      </c>
      <c r="U15" s="2">
        <f>SUM(bs_rates_ovt[[#This Row],[deposits_overnight]:[other_funding]])</f>
        <v>561357.36499999999</v>
      </c>
    </row>
    <row r="16" spans="1:21">
      <c r="A16" s="1">
        <v>38777</v>
      </c>
      <c r="B16">
        <v>24760.2</v>
      </c>
      <c r="C16">
        <v>244539.51699999999</v>
      </c>
      <c r="D16">
        <v>93127.2</v>
      </c>
      <c r="E16">
        <v>2286.1</v>
      </c>
      <c r="F16">
        <v>21027</v>
      </c>
      <c r="G16" s="3">
        <v>287729.90000000002</v>
      </c>
      <c r="H16">
        <v>673469.91700000002</v>
      </c>
      <c r="I16" s="2">
        <v>4.1899999999999968</v>
      </c>
      <c r="J16" s="2">
        <v>4.79</v>
      </c>
      <c r="K16" s="2">
        <f t="shared" si="0"/>
        <v>6.79</v>
      </c>
      <c r="L16" s="2">
        <f t="shared" si="1"/>
        <v>5.29</v>
      </c>
      <c r="M16">
        <v>7.62</v>
      </c>
      <c r="N16" s="2">
        <v>164364.533</v>
      </c>
      <c r="O16" s="2">
        <v>208099.3</v>
      </c>
      <c r="P16" s="2">
        <v>9286.75</v>
      </c>
      <c r="Q16" s="2">
        <v>38252.6</v>
      </c>
      <c r="R16" s="2">
        <v>13534.4</v>
      </c>
      <c r="S16" s="2">
        <v>58124.932999999997</v>
      </c>
      <c r="T16" s="2">
        <v>63810.7</v>
      </c>
      <c r="U16" s="2">
        <f>SUM(bs_rates_ovt[[#This Row],[deposits_overnight]:[other_funding]])</f>
        <v>555473.21600000001</v>
      </c>
    </row>
    <row r="17" spans="1:21">
      <c r="A17" s="1">
        <v>38808</v>
      </c>
      <c r="B17">
        <v>25722</v>
      </c>
      <c r="C17">
        <v>245123.576</v>
      </c>
      <c r="D17">
        <v>91696.9</v>
      </c>
      <c r="E17">
        <v>2447.6999999999998</v>
      </c>
      <c r="F17">
        <v>20725.2</v>
      </c>
      <c r="G17" s="3">
        <v>292739.09999999998</v>
      </c>
      <c r="H17">
        <v>678454.47600000002</v>
      </c>
      <c r="I17" s="2">
        <v>4.1633333333333304</v>
      </c>
      <c r="J17" s="2">
        <v>5.03</v>
      </c>
      <c r="K17" s="2">
        <f t="shared" si="0"/>
        <v>7.03</v>
      </c>
      <c r="L17" s="2">
        <f t="shared" si="1"/>
        <v>5.53</v>
      </c>
      <c r="M17">
        <v>7.55</v>
      </c>
      <c r="N17" s="2">
        <v>161426.01999999999</v>
      </c>
      <c r="O17" s="2">
        <v>212615.4</v>
      </c>
      <c r="P17" s="2">
        <v>10735.206</v>
      </c>
      <c r="Q17" s="2">
        <v>37286.1</v>
      </c>
      <c r="R17" s="2">
        <v>13330.2</v>
      </c>
      <c r="S17" s="2">
        <v>60949.292999999998</v>
      </c>
      <c r="T17" s="2">
        <v>60859</v>
      </c>
      <c r="U17" s="2">
        <f>SUM(bs_rates_ovt[[#This Row],[deposits_overnight]:[other_funding]])</f>
        <v>557201.21900000004</v>
      </c>
    </row>
    <row r="18" spans="1:21">
      <c r="A18" s="1">
        <v>38838</v>
      </c>
      <c r="B18">
        <v>25040</v>
      </c>
      <c r="C18">
        <v>250378.81299999999</v>
      </c>
      <c r="D18">
        <v>97349</v>
      </c>
      <c r="E18">
        <v>2651.2</v>
      </c>
      <c r="F18">
        <v>20866.099999999999</v>
      </c>
      <c r="G18" s="3">
        <v>299335.59999999998</v>
      </c>
      <c r="H18">
        <v>695620.71299999999</v>
      </c>
      <c r="I18" s="2">
        <v>4.1744444444444433</v>
      </c>
      <c r="J18" s="2">
        <v>5.27</v>
      </c>
      <c r="K18" s="2">
        <f t="shared" si="0"/>
        <v>7.27</v>
      </c>
      <c r="L18" s="2">
        <f t="shared" si="1"/>
        <v>5.77</v>
      </c>
      <c r="M18">
        <v>7.5399999999999991</v>
      </c>
      <c r="N18" s="2">
        <v>176211.20300000001</v>
      </c>
      <c r="O18" s="2">
        <v>206055.6</v>
      </c>
      <c r="P18" s="2">
        <v>12631.919</v>
      </c>
      <c r="Q18" s="2">
        <v>36584.300000000003</v>
      </c>
      <c r="R18" s="2">
        <v>13798.9</v>
      </c>
      <c r="S18" s="2">
        <v>67269.13</v>
      </c>
      <c r="T18" s="2">
        <v>60965.4</v>
      </c>
      <c r="U18" s="2">
        <f>SUM(bs_rates_ovt[[#This Row],[deposits_overnight]:[other_funding]])</f>
        <v>573516.45200000005</v>
      </c>
    </row>
    <row r="19" spans="1:21">
      <c r="A19" s="1">
        <v>38869</v>
      </c>
      <c r="B19">
        <v>26392.5</v>
      </c>
      <c r="C19">
        <v>247623.144</v>
      </c>
      <c r="D19">
        <v>100700.9</v>
      </c>
      <c r="E19">
        <v>2787.1</v>
      </c>
      <c r="F19">
        <v>20737.099999999999</v>
      </c>
      <c r="G19" s="3">
        <v>305163.09999999998</v>
      </c>
      <c r="H19">
        <v>703403.84399999992</v>
      </c>
      <c r="I19" s="2">
        <v>4.185555555555557</v>
      </c>
      <c r="J19" s="2">
        <v>5.55</v>
      </c>
      <c r="K19" s="2">
        <f t="shared" si="0"/>
        <v>7.55</v>
      </c>
      <c r="L19" s="2">
        <f t="shared" si="1"/>
        <v>6.05</v>
      </c>
      <c r="M19">
        <v>7.57</v>
      </c>
      <c r="N19" s="2">
        <v>175964.97</v>
      </c>
      <c r="O19" s="2">
        <v>210173</v>
      </c>
      <c r="P19" s="2">
        <v>10858.576999999999</v>
      </c>
      <c r="Q19" s="2">
        <v>35680.400000000001</v>
      </c>
      <c r="R19" s="2">
        <v>14637.3</v>
      </c>
      <c r="S19" s="2">
        <v>67864.274999999994</v>
      </c>
      <c r="T19" s="2">
        <v>62644.800000000003</v>
      </c>
      <c r="U19" s="2">
        <f>SUM(bs_rates_ovt[[#This Row],[deposits_overnight]:[other_funding]])</f>
        <v>577823.32200000004</v>
      </c>
    </row>
    <row r="20" spans="1:21">
      <c r="A20" s="1">
        <v>38899</v>
      </c>
      <c r="B20">
        <v>26188.2</v>
      </c>
      <c r="C20">
        <v>245928.82800000001</v>
      </c>
      <c r="D20">
        <v>99094.3</v>
      </c>
      <c r="E20">
        <v>3112.3</v>
      </c>
      <c r="F20">
        <v>18711.2</v>
      </c>
      <c r="G20" s="3">
        <v>310122.8</v>
      </c>
      <c r="H20">
        <v>703157.62800000003</v>
      </c>
      <c r="I20" s="2">
        <v>4.1966666666666699</v>
      </c>
      <c r="J20" s="2">
        <v>5.56</v>
      </c>
      <c r="K20" s="2">
        <f t="shared" si="0"/>
        <v>7.56</v>
      </c>
      <c r="L20" s="2">
        <f t="shared" si="1"/>
        <v>6.06</v>
      </c>
      <c r="M20">
        <v>7.5200000000000005</v>
      </c>
      <c r="N20" s="2">
        <v>181791.772</v>
      </c>
      <c r="O20" s="2">
        <v>205999.5</v>
      </c>
      <c r="P20" s="2">
        <v>10647.779</v>
      </c>
      <c r="Q20" s="2">
        <v>34915.1</v>
      </c>
      <c r="R20" s="2">
        <v>14129.5</v>
      </c>
      <c r="S20" s="2">
        <v>67124.767000000007</v>
      </c>
      <c r="T20" s="2">
        <v>59456.800000000003</v>
      </c>
      <c r="U20" s="2">
        <f>SUM(bs_rates_ovt[[#This Row],[deposits_overnight]:[other_funding]])</f>
        <v>574065.21799999999</v>
      </c>
    </row>
    <row r="21" spans="1:21">
      <c r="A21" s="1">
        <v>38930</v>
      </c>
      <c r="B21">
        <v>24427.1</v>
      </c>
      <c r="C21">
        <v>244189.43700000001</v>
      </c>
      <c r="D21">
        <v>98896.9</v>
      </c>
      <c r="E21">
        <v>3042.7</v>
      </c>
      <c r="F21">
        <v>20455.7</v>
      </c>
      <c r="G21" s="3">
        <v>316954.09999999998</v>
      </c>
      <c r="H21">
        <v>707965.93700000003</v>
      </c>
      <c r="I21" s="2">
        <v>4.1977777777777803</v>
      </c>
      <c r="J21" s="2">
        <v>5.62</v>
      </c>
      <c r="K21" s="2">
        <f t="shared" si="0"/>
        <v>7.62</v>
      </c>
      <c r="L21" s="2">
        <f t="shared" si="1"/>
        <v>6.12</v>
      </c>
      <c r="M21">
        <v>7.4899999999999993</v>
      </c>
      <c r="N21" s="2">
        <v>184050.36</v>
      </c>
      <c r="O21" s="2">
        <v>209666.8</v>
      </c>
      <c r="P21" s="2">
        <v>11335.96</v>
      </c>
      <c r="Q21" s="2">
        <v>33854.5</v>
      </c>
      <c r="R21" s="2">
        <v>14203.7</v>
      </c>
      <c r="S21" s="2">
        <v>68857.373999999996</v>
      </c>
      <c r="T21" s="2">
        <v>56806.8</v>
      </c>
      <c r="U21" s="2">
        <f>SUM(bs_rates_ovt[[#This Row],[deposits_overnight]:[other_funding]])</f>
        <v>578775.49400000006</v>
      </c>
    </row>
    <row r="22" spans="1:21">
      <c r="A22" s="1">
        <v>38961</v>
      </c>
      <c r="B22">
        <v>23068.5</v>
      </c>
      <c r="C22">
        <v>251088.91500000001</v>
      </c>
      <c r="D22">
        <v>101196</v>
      </c>
      <c r="E22">
        <v>3168.4</v>
      </c>
      <c r="F22">
        <v>21461.7</v>
      </c>
      <c r="G22" s="3">
        <v>324363.09999999998</v>
      </c>
      <c r="H22">
        <v>724346.61499999999</v>
      </c>
      <c r="I22" s="2">
        <v>4.1988888888888898</v>
      </c>
      <c r="J22" s="2">
        <v>5.48</v>
      </c>
      <c r="K22" s="2">
        <f t="shared" si="0"/>
        <v>7.48</v>
      </c>
      <c r="L22" s="2">
        <f t="shared" si="1"/>
        <v>5.98</v>
      </c>
      <c r="M22">
        <v>7.4499999999999993</v>
      </c>
      <c r="N22" s="2">
        <v>187106.74299999999</v>
      </c>
      <c r="O22" s="2">
        <v>210839.4</v>
      </c>
      <c r="P22" s="2">
        <v>12396.724</v>
      </c>
      <c r="Q22" s="2">
        <v>37829.9</v>
      </c>
      <c r="R22" s="2">
        <v>14283.6</v>
      </c>
      <c r="S22" s="2">
        <v>71119.788</v>
      </c>
      <c r="T22" s="2">
        <v>59705.2</v>
      </c>
      <c r="U22" s="2">
        <f>SUM(bs_rates_ovt[[#This Row],[deposits_overnight]:[other_funding]])</f>
        <v>593281.35499999998</v>
      </c>
    </row>
    <row r="23" spans="1:21">
      <c r="A23" s="1">
        <v>38991</v>
      </c>
      <c r="B23">
        <v>23710.400000000001</v>
      </c>
      <c r="C23">
        <v>248129.223</v>
      </c>
      <c r="D23">
        <v>103178.4</v>
      </c>
      <c r="E23">
        <v>3171.1</v>
      </c>
      <c r="F23">
        <v>21443.7</v>
      </c>
      <c r="G23" s="3">
        <v>330024.59999999998</v>
      </c>
      <c r="H23">
        <v>729657.42299999995</v>
      </c>
      <c r="I23" s="2">
        <v>4.2</v>
      </c>
      <c r="J23" s="2">
        <v>5.4</v>
      </c>
      <c r="K23" s="2">
        <f t="shared" si="0"/>
        <v>7.4</v>
      </c>
      <c r="L23" s="2">
        <f t="shared" si="1"/>
        <v>5.9</v>
      </c>
      <c r="M23">
        <v>7.42</v>
      </c>
      <c r="N23" s="2">
        <v>188352.269</v>
      </c>
      <c r="O23" s="2">
        <v>214189.2</v>
      </c>
      <c r="P23" s="2">
        <v>13543.29</v>
      </c>
      <c r="Q23" s="2">
        <v>36894.1</v>
      </c>
      <c r="R23" s="2">
        <v>15097.8</v>
      </c>
      <c r="S23" s="2">
        <v>71463.455000000002</v>
      </c>
      <c r="T23" s="2">
        <v>59737</v>
      </c>
      <c r="U23" s="2">
        <f>SUM(bs_rates_ovt[[#This Row],[deposits_overnight]:[other_funding]])</f>
        <v>599277.11399999994</v>
      </c>
    </row>
    <row r="24" spans="1:21">
      <c r="A24" s="1">
        <v>39022</v>
      </c>
      <c r="B24">
        <v>28887.1</v>
      </c>
      <c r="C24">
        <v>245029.32699999999</v>
      </c>
      <c r="D24">
        <v>102966.39999999999</v>
      </c>
      <c r="E24">
        <v>3293.5</v>
      </c>
      <c r="F24">
        <v>23362.2</v>
      </c>
      <c r="G24" s="3">
        <v>336647.9</v>
      </c>
      <c r="H24">
        <v>740186.42699999991</v>
      </c>
      <c r="I24" s="2">
        <v>4.2055555555555566</v>
      </c>
      <c r="J24" s="2">
        <v>5.2</v>
      </c>
      <c r="K24" s="2">
        <f t="shared" si="0"/>
        <v>7.2</v>
      </c>
      <c r="L24" s="2">
        <f t="shared" si="1"/>
        <v>5.7</v>
      </c>
      <c r="M24">
        <v>7.41</v>
      </c>
      <c r="N24" s="2">
        <v>198066.71299999999</v>
      </c>
      <c r="O24" s="2">
        <v>209915.7</v>
      </c>
      <c r="P24" s="2">
        <v>13915.285</v>
      </c>
      <c r="Q24" s="2">
        <v>33957.199999999997</v>
      </c>
      <c r="R24" s="2">
        <v>14480</v>
      </c>
      <c r="S24" s="2">
        <v>76396.114000000001</v>
      </c>
      <c r="T24" s="2">
        <v>61632.6</v>
      </c>
      <c r="U24" s="2">
        <f>SUM(bs_rates_ovt[[#This Row],[deposits_overnight]:[other_funding]])</f>
        <v>608363.61199999996</v>
      </c>
    </row>
    <row r="25" spans="1:21">
      <c r="A25" s="1">
        <v>39052</v>
      </c>
      <c r="B25">
        <v>23690.7</v>
      </c>
      <c r="C25">
        <v>240760.49299999999</v>
      </c>
      <c r="D25">
        <v>101527</v>
      </c>
      <c r="E25">
        <v>3789.6</v>
      </c>
      <c r="F25">
        <v>22728.5</v>
      </c>
      <c r="G25" s="3">
        <v>343616.5</v>
      </c>
      <c r="H25">
        <v>736112.79299999995</v>
      </c>
      <c r="I25" s="2">
        <v>4.2111111111111139</v>
      </c>
      <c r="J25" s="2">
        <v>5.14</v>
      </c>
      <c r="K25" s="2">
        <f t="shared" si="0"/>
        <v>7.14</v>
      </c>
      <c r="L25" s="2">
        <f t="shared" si="1"/>
        <v>5.64</v>
      </c>
      <c r="M25">
        <v>7.35</v>
      </c>
      <c r="N25" s="2">
        <v>207063.23800000001</v>
      </c>
      <c r="O25" s="2">
        <v>213143</v>
      </c>
      <c r="P25" s="2">
        <v>10806.941000000001</v>
      </c>
      <c r="Q25" s="2">
        <v>31386.799999999999</v>
      </c>
      <c r="R25" s="2">
        <v>14645.6</v>
      </c>
      <c r="S25" s="2">
        <v>72385.089000000007</v>
      </c>
      <c r="T25" s="2">
        <v>58366</v>
      </c>
      <c r="U25" s="2">
        <f>SUM(bs_rates_ovt[[#This Row],[deposits_overnight]:[other_funding]])</f>
        <v>607796.66799999995</v>
      </c>
    </row>
    <row r="26" spans="1:21">
      <c r="A26" s="1">
        <v>39083</v>
      </c>
      <c r="B26">
        <v>22738.2</v>
      </c>
      <c r="C26">
        <v>265306.78999999998</v>
      </c>
      <c r="D26">
        <v>96535.1</v>
      </c>
      <c r="E26">
        <v>3232</v>
      </c>
      <c r="F26">
        <v>25485</v>
      </c>
      <c r="G26" s="3">
        <v>350722</v>
      </c>
      <c r="H26">
        <v>764019.09</v>
      </c>
      <c r="I26" s="2">
        <v>4.2166666666666703</v>
      </c>
      <c r="J26" s="2">
        <v>5.17</v>
      </c>
      <c r="K26" s="2">
        <f t="shared" si="0"/>
        <v>7.17</v>
      </c>
      <c r="L26" s="2">
        <f t="shared" si="1"/>
        <v>5.67</v>
      </c>
      <c r="M26">
        <v>8</v>
      </c>
      <c r="N26" s="2">
        <v>209811.01199999999</v>
      </c>
      <c r="O26" s="2">
        <v>218454.7</v>
      </c>
      <c r="P26" s="2">
        <v>12511.223</v>
      </c>
      <c r="Q26" s="2">
        <v>35713.4</v>
      </c>
      <c r="R26" s="2">
        <v>14553.7</v>
      </c>
      <c r="S26" s="2">
        <v>80422.784</v>
      </c>
      <c r="T26" s="2">
        <v>63479.3</v>
      </c>
      <c r="U26" s="2">
        <f>SUM(bs_rates_ovt[[#This Row],[deposits_overnight]:[other_funding]])</f>
        <v>634946.11900000006</v>
      </c>
    </row>
    <row r="27" spans="1:21">
      <c r="A27" s="1">
        <v>39114</v>
      </c>
      <c r="B27">
        <v>22101.599999999999</v>
      </c>
      <c r="C27">
        <v>257060.24400000001</v>
      </c>
      <c r="D27">
        <v>100304.5</v>
      </c>
      <c r="E27">
        <v>3866.3</v>
      </c>
      <c r="F27">
        <v>23923.8</v>
      </c>
      <c r="G27" s="3">
        <v>358292.3</v>
      </c>
      <c r="H27">
        <v>765548.74399999995</v>
      </c>
      <c r="I27" s="2">
        <v>4.2872222222222236</v>
      </c>
      <c r="J27" s="2">
        <v>5.19</v>
      </c>
      <c r="K27" s="2">
        <f t="shared" si="0"/>
        <v>7.19</v>
      </c>
      <c r="L27" s="2">
        <f t="shared" si="1"/>
        <v>5.69</v>
      </c>
      <c r="M27">
        <v>8.08</v>
      </c>
      <c r="N27" s="2">
        <v>216089.32699999999</v>
      </c>
      <c r="O27" s="2">
        <v>218529.7</v>
      </c>
      <c r="P27" s="2">
        <v>10834.817999999999</v>
      </c>
      <c r="Q27" s="2">
        <v>33699.199999999997</v>
      </c>
      <c r="R27" s="2">
        <v>12595.9</v>
      </c>
      <c r="S27" s="2">
        <v>79711.652000000002</v>
      </c>
      <c r="T27" s="2">
        <v>64228.7</v>
      </c>
      <c r="U27" s="2">
        <f>SUM(bs_rates_ovt[[#This Row],[deposits_overnight]:[other_funding]])</f>
        <v>635689.29700000002</v>
      </c>
    </row>
    <row r="28" spans="1:21">
      <c r="A28" s="1">
        <v>39142</v>
      </c>
      <c r="B28">
        <v>23168.3</v>
      </c>
      <c r="C28">
        <v>249386.62100000001</v>
      </c>
      <c r="D28">
        <v>98775.6</v>
      </c>
      <c r="E28">
        <v>3825.6</v>
      </c>
      <c r="F28">
        <v>23448.799999999999</v>
      </c>
      <c r="G28" s="3">
        <v>368365.5</v>
      </c>
      <c r="H28">
        <v>766970.42100000009</v>
      </c>
      <c r="I28" s="2">
        <v>4.3577777777777769</v>
      </c>
      <c r="J28" s="2">
        <v>5.19</v>
      </c>
      <c r="K28" s="2">
        <f t="shared" si="0"/>
        <v>7.19</v>
      </c>
      <c r="L28" s="2">
        <f t="shared" si="1"/>
        <v>5.69</v>
      </c>
      <c r="M28">
        <v>7.870000000000001</v>
      </c>
      <c r="N28" s="2">
        <v>216250.856</v>
      </c>
      <c r="O28" s="2">
        <v>218721.9</v>
      </c>
      <c r="P28" s="2">
        <v>11336.11</v>
      </c>
      <c r="Q28" s="2">
        <v>34758.6</v>
      </c>
      <c r="R28" s="2">
        <v>9378.2999999999993</v>
      </c>
      <c r="S28" s="2">
        <v>80631.44</v>
      </c>
      <c r="T28" s="2">
        <v>63640</v>
      </c>
      <c r="U28" s="2">
        <f>SUM(bs_rates_ovt[[#This Row],[deposits_overnight]:[other_funding]])</f>
        <v>634717.20600000001</v>
      </c>
    </row>
    <row r="29" spans="1:21">
      <c r="A29" s="1">
        <v>39173</v>
      </c>
      <c r="B29">
        <v>28044.6</v>
      </c>
      <c r="C29">
        <v>247239.986</v>
      </c>
      <c r="D29">
        <v>96173.9</v>
      </c>
      <c r="E29">
        <v>4106.1000000000004</v>
      </c>
      <c r="F29">
        <v>23120.3</v>
      </c>
      <c r="G29" s="3">
        <v>377938.6</v>
      </c>
      <c r="H29">
        <v>776623.48600000003</v>
      </c>
      <c r="I29" s="2">
        <v>4.4283333333333301</v>
      </c>
      <c r="J29" s="2">
        <v>5.28</v>
      </c>
      <c r="K29" s="2">
        <f t="shared" si="0"/>
        <v>7.28</v>
      </c>
      <c r="L29" s="2">
        <f t="shared" si="1"/>
        <v>5.78</v>
      </c>
      <c r="M29">
        <v>7.85</v>
      </c>
      <c r="N29" s="2">
        <v>213396.12</v>
      </c>
      <c r="O29" s="2">
        <v>224628.2</v>
      </c>
      <c r="P29" s="2">
        <v>11952.313</v>
      </c>
      <c r="Q29" s="2">
        <v>35590.199999999997</v>
      </c>
      <c r="R29" s="2">
        <v>9108.5</v>
      </c>
      <c r="S29" s="2">
        <v>84469.645000000004</v>
      </c>
      <c r="T29" s="2">
        <v>62525.2</v>
      </c>
      <c r="U29" s="2">
        <f>SUM(bs_rates_ovt[[#This Row],[deposits_overnight]:[other_funding]])</f>
        <v>641670.17799999996</v>
      </c>
    </row>
    <row r="30" spans="1:21">
      <c r="A30" s="1">
        <v>39203</v>
      </c>
      <c r="B30">
        <v>26073.8</v>
      </c>
      <c r="C30">
        <v>255143.77600000001</v>
      </c>
      <c r="D30">
        <v>94375.4</v>
      </c>
      <c r="E30">
        <v>4264.3</v>
      </c>
      <c r="F30">
        <v>22760.799999999999</v>
      </c>
      <c r="G30" s="3">
        <v>387241.5</v>
      </c>
      <c r="H30">
        <v>789859.576</v>
      </c>
      <c r="I30" s="2">
        <v>4.6022222222222204</v>
      </c>
      <c r="J30" s="2">
        <v>5.29</v>
      </c>
      <c r="K30" s="2">
        <f t="shared" si="0"/>
        <v>7.29</v>
      </c>
      <c r="L30" s="2">
        <f t="shared" si="1"/>
        <v>5.79</v>
      </c>
      <c r="M30">
        <v>7.870000000000001</v>
      </c>
      <c r="N30" s="2">
        <v>221605.046</v>
      </c>
      <c r="O30" s="2">
        <v>219218</v>
      </c>
      <c r="P30" s="2">
        <v>13513.739</v>
      </c>
      <c r="Q30" s="2">
        <v>34268.6</v>
      </c>
      <c r="R30" s="2">
        <v>9349.6</v>
      </c>
      <c r="S30" s="2">
        <v>94736.538</v>
      </c>
      <c r="T30" s="2">
        <v>61358.8</v>
      </c>
      <c r="U30" s="2">
        <f>SUM(bs_rates_ovt[[#This Row],[deposits_overnight]:[other_funding]])</f>
        <v>654050.32299999997</v>
      </c>
    </row>
    <row r="31" spans="1:21">
      <c r="A31" s="1">
        <v>39234</v>
      </c>
      <c r="B31">
        <v>27432.400000000001</v>
      </c>
      <c r="C31">
        <v>245697.40400000001</v>
      </c>
      <c r="D31">
        <v>92409.8</v>
      </c>
      <c r="E31">
        <v>4099.8999999999996</v>
      </c>
      <c r="F31">
        <v>20966.3</v>
      </c>
      <c r="G31" s="3">
        <v>398513.8</v>
      </c>
      <c r="H31">
        <v>789119.60400000005</v>
      </c>
      <c r="I31" s="2">
        <v>4.7761111111111099</v>
      </c>
      <c r="J31" s="2">
        <v>5.52</v>
      </c>
      <c r="K31" s="2">
        <f t="shared" si="0"/>
        <v>7.52</v>
      </c>
      <c r="L31" s="2">
        <f t="shared" si="1"/>
        <v>6.02</v>
      </c>
      <c r="M31">
        <v>7.91</v>
      </c>
      <c r="N31" s="2">
        <v>222439.927</v>
      </c>
      <c r="O31" s="2">
        <v>218225.3</v>
      </c>
      <c r="P31" s="2">
        <v>11682.227000000001</v>
      </c>
      <c r="Q31" s="2">
        <v>32070.2</v>
      </c>
      <c r="R31" s="2">
        <v>9258.9</v>
      </c>
      <c r="S31" s="2">
        <v>99256.656000000003</v>
      </c>
      <c r="T31" s="2">
        <v>58481.599999999999</v>
      </c>
      <c r="U31" s="2">
        <f>SUM(bs_rates_ovt[[#This Row],[deposits_overnight]:[other_funding]])</f>
        <v>651414.80999999994</v>
      </c>
    </row>
    <row r="32" spans="1:21">
      <c r="A32" s="1">
        <v>39264</v>
      </c>
      <c r="B32">
        <v>27165.8</v>
      </c>
      <c r="C32">
        <v>246418.60699999999</v>
      </c>
      <c r="D32">
        <v>89788.3</v>
      </c>
      <c r="E32">
        <v>4256.1000000000004</v>
      </c>
      <c r="F32">
        <v>20742.900000000001</v>
      </c>
      <c r="G32" s="3">
        <v>410652.5</v>
      </c>
      <c r="H32">
        <v>799024.20699999994</v>
      </c>
      <c r="I32" s="2">
        <v>4.95</v>
      </c>
      <c r="J32" s="2">
        <v>5.6</v>
      </c>
      <c r="K32" s="2">
        <f t="shared" si="0"/>
        <v>7.6</v>
      </c>
      <c r="L32" s="2">
        <f t="shared" si="1"/>
        <v>6.1</v>
      </c>
      <c r="M32">
        <v>7.88</v>
      </c>
      <c r="N32" s="2">
        <v>229507.644</v>
      </c>
      <c r="O32" s="2">
        <v>215255.4</v>
      </c>
      <c r="P32" s="2">
        <v>13584.547</v>
      </c>
      <c r="Q32" s="2">
        <v>33124.800000000003</v>
      </c>
      <c r="R32" s="2">
        <v>9092.5</v>
      </c>
      <c r="S32" s="2">
        <v>99445.584000000003</v>
      </c>
      <c r="T32" s="2">
        <v>58590.3</v>
      </c>
      <c r="U32" s="2">
        <f>SUM(bs_rates_ovt[[#This Row],[deposits_overnight]:[other_funding]])</f>
        <v>658600.77500000002</v>
      </c>
    </row>
    <row r="33" spans="1:21">
      <c r="A33" s="1">
        <v>39295</v>
      </c>
      <c r="B33">
        <v>25626.1</v>
      </c>
      <c r="C33">
        <v>247954.80799999999</v>
      </c>
      <c r="D33">
        <v>90729.9</v>
      </c>
      <c r="E33">
        <v>4424.5</v>
      </c>
      <c r="F33">
        <v>20679.599999999999</v>
      </c>
      <c r="G33" s="3">
        <v>421019.4</v>
      </c>
      <c r="H33">
        <v>810434.30799999996</v>
      </c>
      <c r="I33" s="2">
        <v>5.1277777777777764</v>
      </c>
      <c r="J33" s="2">
        <v>5.68</v>
      </c>
      <c r="K33" s="2">
        <f t="shared" si="0"/>
        <v>7.68</v>
      </c>
      <c r="L33" s="2">
        <f t="shared" si="1"/>
        <v>6.18</v>
      </c>
      <c r="M33">
        <v>7.95</v>
      </c>
      <c r="N33" s="2">
        <v>225947.698</v>
      </c>
      <c r="O33" s="2">
        <v>227689.3</v>
      </c>
      <c r="P33" s="2">
        <v>13911.669</v>
      </c>
      <c r="Q33" s="2">
        <v>31812.1</v>
      </c>
      <c r="R33" s="2">
        <v>9340.2000000000007</v>
      </c>
      <c r="S33" s="2">
        <v>102858.965</v>
      </c>
      <c r="T33" s="2">
        <v>57759</v>
      </c>
      <c r="U33" s="2">
        <f>SUM(bs_rates_ovt[[#This Row],[deposits_overnight]:[other_funding]])</f>
        <v>669318.93200000003</v>
      </c>
    </row>
    <row r="34" spans="1:21">
      <c r="A34" s="1">
        <v>39326</v>
      </c>
      <c r="B34">
        <v>31348.3</v>
      </c>
      <c r="C34">
        <v>250923.61</v>
      </c>
      <c r="D34">
        <v>97211.7</v>
      </c>
      <c r="E34">
        <v>4072.5</v>
      </c>
      <c r="F34">
        <v>19403.599999999999</v>
      </c>
      <c r="G34" s="3">
        <v>431385.7</v>
      </c>
      <c r="H34">
        <v>834345.40999999992</v>
      </c>
      <c r="I34" s="2">
        <v>5.3055555555555536</v>
      </c>
      <c r="J34" s="2">
        <v>5.69</v>
      </c>
      <c r="K34" s="2">
        <f t="shared" si="0"/>
        <v>7.69</v>
      </c>
      <c r="L34" s="2">
        <f t="shared" si="1"/>
        <v>6.19</v>
      </c>
      <c r="M34">
        <v>8.0399999999999991</v>
      </c>
      <c r="N34" s="2">
        <v>233989.77799999999</v>
      </c>
      <c r="O34" s="2">
        <v>220734.5</v>
      </c>
      <c r="P34" s="2">
        <v>11299.325000000001</v>
      </c>
      <c r="Q34" s="2">
        <v>39969.5</v>
      </c>
      <c r="R34" s="2">
        <v>9782.1</v>
      </c>
      <c r="S34" s="2">
        <v>113964.95</v>
      </c>
      <c r="T34" s="2">
        <v>61549.4</v>
      </c>
      <c r="U34" s="2">
        <f>SUM(bs_rates_ovt[[#This Row],[deposits_overnight]:[other_funding]])</f>
        <v>691289.55299999996</v>
      </c>
    </row>
    <row r="35" spans="1:21">
      <c r="A35" s="1">
        <v>39356</v>
      </c>
      <c r="B35">
        <v>41255.5</v>
      </c>
      <c r="C35">
        <v>255575.016</v>
      </c>
      <c r="D35">
        <v>91622.7</v>
      </c>
      <c r="E35">
        <v>4211.1000000000004</v>
      </c>
      <c r="F35">
        <v>20635.599999999999</v>
      </c>
      <c r="G35" s="3">
        <v>438003.1</v>
      </c>
      <c r="H35">
        <v>851303.01599999995</v>
      </c>
      <c r="I35" s="2">
        <v>5.4833333333333298</v>
      </c>
      <c r="J35" s="2">
        <v>5.64</v>
      </c>
      <c r="K35" s="2">
        <f t="shared" si="0"/>
        <v>7.64</v>
      </c>
      <c r="L35" s="2">
        <f t="shared" si="1"/>
        <v>6.14</v>
      </c>
      <c r="M35">
        <v>8.08</v>
      </c>
      <c r="N35" s="2">
        <v>227053.12700000001</v>
      </c>
      <c r="O35" s="2">
        <v>232297.8</v>
      </c>
      <c r="P35" s="2">
        <v>11043.8</v>
      </c>
      <c r="Q35" s="2">
        <v>33268.699999999997</v>
      </c>
      <c r="R35" s="2">
        <v>11965</v>
      </c>
      <c r="S35" s="2">
        <v>123851</v>
      </c>
      <c r="T35" s="2">
        <v>68661.7</v>
      </c>
      <c r="U35" s="2">
        <f>SUM(bs_rates_ovt[[#This Row],[deposits_overnight]:[other_funding]])</f>
        <v>708141.12699999998</v>
      </c>
    </row>
    <row r="36" spans="1:21">
      <c r="A36" s="1">
        <v>39387</v>
      </c>
      <c r="B36">
        <v>50149.599999999999</v>
      </c>
      <c r="C36">
        <v>266656.11599999998</v>
      </c>
      <c r="D36">
        <v>96720.5</v>
      </c>
      <c r="E36">
        <v>5063.6000000000004</v>
      </c>
      <c r="F36">
        <v>19551.7</v>
      </c>
      <c r="G36" s="3">
        <v>447753.4</v>
      </c>
      <c r="H36">
        <v>885894.91599999997</v>
      </c>
      <c r="I36" s="2">
        <v>5.6266666666666634</v>
      </c>
      <c r="J36" s="2">
        <v>5.702</v>
      </c>
      <c r="K36" s="2">
        <f t="shared" si="0"/>
        <v>7.702</v>
      </c>
      <c r="L36" s="2">
        <f t="shared" si="1"/>
        <v>6.202</v>
      </c>
      <c r="M36">
        <v>8.19</v>
      </c>
      <c r="N36" s="2">
        <v>237878.66899999999</v>
      </c>
      <c r="O36" s="2">
        <v>229697.5</v>
      </c>
      <c r="P36" s="2">
        <v>9254.9480000000003</v>
      </c>
      <c r="Q36" s="2">
        <v>43196.1</v>
      </c>
      <c r="R36" s="2">
        <v>11398.6</v>
      </c>
      <c r="S36" s="2">
        <v>136504.53599999999</v>
      </c>
      <c r="T36" s="2">
        <v>73938.8</v>
      </c>
      <c r="U36" s="2">
        <f>SUM(bs_rates_ovt[[#This Row],[deposits_overnight]:[other_funding]])</f>
        <v>741869.15299999993</v>
      </c>
    </row>
    <row r="37" spans="1:21">
      <c r="A37" s="1">
        <v>39417</v>
      </c>
      <c r="B37">
        <v>30773.200000000001</v>
      </c>
      <c r="C37">
        <v>251782.13399999999</v>
      </c>
      <c r="D37">
        <v>103971.1</v>
      </c>
      <c r="E37">
        <v>5486</v>
      </c>
      <c r="F37">
        <v>21274.1</v>
      </c>
      <c r="G37" s="3">
        <v>453320.6</v>
      </c>
      <c r="H37">
        <v>866607.13399999996</v>
      </c>
      <c r="I37" s="2">
        <v>5.7699999999999969</v>
      </c>
      <c r="J37" s="2">
        <v>5.86</v>
      </c>
      <c r="K37" s="2">
        <f t="shared" si="0"/>
        <v>7.86</v>
      </c>
      <c r="L37" s="2">
        <f t="shared" si="1"/>
        <v>6.36</v>
      </c>
      <c r="M37">
        <v>8.2199999999999989</v>
      </c>
      <c r="N37" s="2">
        <v>258106.21100000001</v>
      </c>
      <c r="O37" s="2">
        <v>221127.6</v>
      </c>
      <c r="P37" s="2">
        <v>8192.3790000000008</v>
      </c>
      <c r="Q37" s="2">
        <v>44800.3</v>
      </c>
      <c r="R37" s="2">
        <v>12378.8</v>
      </c>
      <c r="S37" s="2">
        <v>128007.04300000001</v>
      </c>
      <c r="T37" s="2">
        <v>54777.9</v>
      </c>
      <c r="U37" s="2">
        <f>SUM(bs_rates_ovt[[#This Row],[deposits_overnight]:[other_funding]])</f>
        <v>727390.23300000012</v>
      </c>
    </row>
    <row r="38" spans="1:21">
      <c r="A38" s="1">
        <v>39448</v>
      </c>
      <c r="B38">
        <v>40635.4</v>
      </c>
      <c r="C38">
        <v>261162.606</v>
      </c>
      <c r="D38">
        <v>100250.7</v>
      </c>
      <c r="E38">
        <v>5006.5</v>
      </c>
      <c r="F38">
        <v>21218.3</v>
      </c>
      <c r="G38" s="3">
        <v>467213.9</v>
      </c>
      <c r="H38">
        <v>895487.40599999996</v>
      </c>
      <c r="I38" s="2">
        <v>5.9133333333333304</v>
      </c>
      <c r="J38" s="2">
        <v>5.81</v>
      </c>
      <c r="K38" s="2">
        <f t="shared" si="0"/>
        <v>7.81</v>
      </c>
      <c r="L38" s="2">
        <f t="shared" si="1"/>
        <v>6.31</v>
      </c>
      <c r="M38">
        <v>8.3699999999999992</v>
      </c>
      <c r="N38" s="2">
        <v>254889.19200000001</v>
      </c>
      <c r="O38" s="2">
        <v>232882.5</v>
      </c>
      <c r="P38" s="2">
        <v>8942.8220000000001</v>
      </c>
      <c r="Q38" s="2">
        <v>43947</v>
      </c>
      <c r="R38" s="2">
        <v>12229.9</v>
      </c>
      <c r="S38" s="2">
        <v>138265.726</v>
      </c>
      <c r="T38" s="2">
        <v>69626.8</v>
      </c>
      <c r="U38" s="2">
        <f>SUM(bs_rates_ovt[[#This Row],[deposits_overnight]:[other_funding]])</f>
        <v>760783.94000000006</v>
      </c>
    </row>
    <row r="39" spans="1:21">
      <c r="A39" s="1">
        <v>39479</v>
      </c>
      <c r="B39">
        <v>44695</v>
      </c>
      <c r="C39">
        <v>261377.53400000001</v>
      </c>
      <c r="D39">
        <v>103831.1</v>
      </c>
      <c r="E39">
        <v>4883.3</v>
      </c>
      <c r="F39">
        <v>20916</v>
      </c>
      <c r="G39" s="3">
        <v>473349.8</v>
      </c>
      <c r="H39">
        <v>909052.73399999994</v>
      </c>
      <c r="I39" s="2">
        <v>6.1055555555555534</v>
      </c>
      <c r="J39" s="2">
        <v>5.82</v>
      </c>
      <c r="K39" s="2">
        <f t="shared" si="0"/>
        <v>7.82</v>
      </c>
      <c r="L39" s="2">
        <f t="shared" si="1"/>
        <v>6.32</v>
      </c>
      <c r="M39">
        <v>8.41</v>
      </c>
      <c r="N39" s="2">
        <v>252631.45300000001</v>
      </c>
      <c r="O39" s="2">
        <v>244158.5</v>
      </c>
      <c r="P39" s="2">
        <v>9875.2819999999992</v>
      </c>
      <c r="Q39" s="2">
        <v>39623.699999999997</v>
      </c>
      <c r="R39" s="2">
        <v>12102.6</v>
      </c>
      <c r="S39" s="2">
        <v>142521.736</v>
      </c>
      <c r="T39" s="2">
        <v>69642.600000000006</v>
      </c>
      <c r="U39" s="2">
        <f>SUM(bs_rates_ovt[[#This Row],[deposits_overnight]:[other_funding]])</f>
        <v>770555.87099999993</v>
      </c>
    </row>
    <row r="40" spans="1:21">
      <c r="A40" s="1">
        <v>39508</v>
      </c>
      <c r="B40">
        <v>46370.1</v>
      </c>
      <c r="C40">
        <v>266493.55099999998</v>
      </c>
      <c r="D40">
        <v>107196.8</v>
      </c>
      <c r="E40">
        <v>5033.7</v>
      </c>
      <c r="F40">
        <v>20038</v>
      </c>
      <c r="G40" s="3">
        <v>486409.6</v>
      </c>
      <c r="H40">
        <v>931541.75099999993</v>
      </c>
      <c r="I40" s="2">
        <v>6.2977777777777773</v>
      </c>
      <c r="J40" s="2">
        <v>5.99</v>
      </c>
      <c r="K40" s="2">
        <f t="shared" si="0"/>
        <v>7.99</v>
      </c>
      <c r="L40" s="2">
        <f t="shared" si="1"/>
        <v>6.49</v>
      </c>
      <c r="M40">
        <v>8.43</v>
      </c>
      <c r="N40" s="2">
        <v>260224.00200000001</v>
      </c>
      <c r="O40" s="2">
        <v>239631.8</v>
      </c>
      <c r="P40" s="2">
        <v>9134.3320000000003</v>
      </c>
      <c r="Q40" s="2">
        <v>41300.6</v>
      </c>
      <c r="R40" s="2">
        <v>12501.3</v>
      </c>
      <c r="S40" s="2">
        <v>159501.47500000001</v>
      </c>
      <c r="T40" s="2">
        <v>68538.600000000006</v>
      </c>
      <c r="U40" s="2">
        <f>SUM(bs_rates_ovt[[#This Row],[deposits_overnight]:[other_funding]])</f>
        <v>790832.10900000005</v>
      </c>
    </row>
    <row r="41" spans="1:21">
      <c r="A41" s="1">
        <v>39539</v>
      </c>
      <c r="B41">
        <v>42513.5</v>
      </c>
      <c r="C41">
        <v>272164.84100000001</v>
      </c>
      <c r="D41">
        <v>109300.8</v>
      </c>
      <c r="E41">
        <v>5290.2</v>
      </c>
      <c r="F41">
        <v>19800.099999999999</v>
      </c>
      <c r="G41" s="3">
        <v>493500.9</v>
      </c>
      <c r="H41">
        <v>942570.34100000001</v>
      </c>
      <c r="I41" s="2">
        <v>6.49</v>
      </c>
      <c r="J41" s="2">
        <v>5.99</v>
      </c>
      <c r="K41" s="2">
        <f t="shared" si="0"/>
        <v>7.99</v>
      </c>
      <c r="L41" s="2">
        <f t="shared" si="1"/>
        <v>6.49</v>
      </c>
      <c r="M41">
        <v>8.77</v>
      </c>
      <c r="N41" s="2">
        <v>247129.95499999999</v>
      </c>
      <c r="O41" s="2">
        <v>262596.3</v>
      </c>
      <c r="P41" s="2">
        <v>9697.973</v>
      </c>
      <c r="Q41" s="2">
        <v>43675.5</v>
      </c>
      <c r="R41" s="2">
        <v>12336.5</v>
      </c>
      <c r="S41" s="2">
        <v>160301.96100000001</v>
      </c>
      <c r="T41" s="2">
        <v>63867.3</v>
      </c>
      <c r="U41" s="2">
        <f>SUM(bs_rates_ovt[[#This Row],[deposits_overnight]:[other_funding]])</f>
        <v>799605.48900000006</v>
      </c>
    </row>
    <row r="42" spans="1:21">
      <c r="A42" s="1">
        <v>39569</v>
      </c>
      <c r="B42">
        <v>47662.6</v>
      </c>
      <c r="C42">
        <v>265352.86099999998</v>
      </c>
      <c r="D42">
        <v>113445.9</v>
      </c>
      <c r="E42">
        <v>5143.3</v>
      </c>
      <c r="F42">
        <v>19632.3</v>
      </c>
      <c r="G42" s="3">
        <v>503703.1</v>
      </c>
      <c r="H42">
        <v>954940.06099999987</v>
      </c>
      <c r="I42" s="2">
        <v>6.5144444444444431</v>
      </c>
      <c r="J42" s="2">
        <v>6.1</v>
      </c>
      <c r="K42" s="2">
        <f t="shared" si="0"/>
        <v>8.1</v>
      </c>
      <c r="L42" s="2">
        <f t="shared" si="1"/>
        <v>6.6</v>
      </c>
      <c r="M42">
        <v>8.86</v>
      </c>
      <c r="N42" s="2">
        <v>263086.06900000002</v>
      </c>
      <c r="O42" s="2">
        <v>253178.7</v>
      </c>
      <c r="P42" s="2">
        <v>7768.7340000000004</v>
      </c>
      <c r="Q42" s="2">
        <v>45773.2</v>
      </c>
      <c r="R42" s="2">
        <v>12699.9</v>
      </c>
      <c r="S42" s="2">
        <v>162269.247</v>
      </c>
      <c r="T42" s="2">
        <v>62421.9</v>
      </c>
      <c r="U42" s="2">
        <f>SUM(bs_rates_ovt[[#This Row],[deposits_overnight]:[other_funding]])</f>
        <v>807197.75</v>
      </c>
    </row>
    <row r="43" spans="1:21">
      <c r="A43" s="1">
        <v>39600</v>
      </c>
      <c r="B43">
        <v>47338.6</v>
      </c>
      <c r="C43">
        <v>269205.96999999997</v>
      </c>
      <c r="D43">
        <v>116310.6</v>
      </c>
      <c r="E43">
        <v>5278.3</v>
      </c>
      <c r="F43">
        <v>19245.2</v>
      </c>
      <c r="G43" s="3">
        <v>516989.9</v>
      </c>
      <c r="H43">
        <v>974368.57</v>
      </c>
      <c r="I43" s="2">
        <v>6.538888888888887</v>
      </c>
      <c r="J43" s="2">
        <v>6.42</v>
      </c>
      <c r="K43" s="2">
        <f t="shared" si="0"/>
        <v>8.42</v>
      </c>
      <c r="L43" s="2">
        <f t="shared" si="1"/>
        <v>6.92</v>
      </c>
      <c r="M43">
        <v>9.02</v>
      </c>
      <c r="N43" s="2">
        <v>271758.15100000001</v>
      </c>
      <c r="O43" s="2">
        <v>249855.4</v>
      </c>
      <c r="P43" s="2">
        <v>7952.8860000000004</v>
      </c>
      <c r="Q43" s="2">
        <v>43072.3</v>
      </c>
      <c r="R43" s="2">
        <v>13209.7</v>
      </c>
      <c r="S43" s="2">
        <v>173370.15900000001</v>
      </c>
      <c r="T43" s="2">
        <v>62404.1</v>
      </c>
      <c r="U43" s="2">
        <f>SUM(bs_rates_ovt[[#This Row],[deposits_overnight]:[other_funding]])</f>
        <v>821622.696</v>
      </c>
    </row>
    <row r="44" spans="1:21">
      <c r="A44" s="1">
        <v>39630</v>
      </c>
      <c r="B44">
        <v>52129.599999999999</v>
      </c>
      <c r="C44">
        <v>263345.75699999998</v>
      </c>
      <c r="D44">
        <v>118764</v>
      </c>
      <c r="E44">
        <v>5330.5</v>
      </c>
      <c r="F44">
        <v>19356.599999999999</v>
      </c>
      <c r="G44" s="3">
        <v>521768.5</v>
      </c>
      <c r="H44">
        <v>980694.95699999994</v>
      </c>
      <c r="I44" s="2">
        <v>6.5633333333333299</v>
      </c>
      <c r="J44" s="2">
        <v>6.45</v>
      </c>
      <c r="K44" s="2">
        <f t="shared" si="0"/>
        <v>8.4499999999999993</v>
      </c>
      <c r="L44" s="2">
        <f t="shared" si="1"/>
        <v>6.95</v>
      </c>
      <c r="M44">
        <v>9.17</v>
      </c>
      <c r="N44" s="2">
        <v>270193.946</v>
      </c>
      <c r="O44" s="2">
        <v>260847.8</v>
      </c>
      <c r="P44" s="2">
        <v>7037.8289999999997</v>
      </c>
      <c r="Q44" s="2">
        <v>48168.6</v>
      </c>
      <c r="R44" s="2">
        <v>13014.4</v>
      </c>
      <c r="S44" s="2">
        <v>169859.41399999999</v>
      </c>
      <c r="T44" s="2">
        <v>61745.2</v>
      </c>
      <c r="U44" s="2">
        <f>SUM(bs_rates_ovt[[#This Row],[deposits_overnight]:[other_funding]])</f>
        <v>830867.18900000001</v>
      </c>
    </row>
    <row r="45" spans="1:21">
      <c r="A45" s="1">
        <v>39661</v>
      </c>
      <c r="B45">
        <v>42846.5</v>
      </c>
      <c r="C45">
        <v>278395.73700000002</v>
      </c>
      <c r="D45">
        <v>122458.9</v>
      </c>
      <c r="E45">
        <v>5200.7</v>
      </c>
      <c r="F45">
        <v>19756</v>
      </c>
      <c r="G45" s="3">
        <v>540760.30000000005</v>
      </c>
      <c r="H45">
        <v>1009418.1370000001</v>
      </c>
      <c r="I45" s="2">
        <v>6.5188888888888865</v>
      </c>
      <c r="J45" s="2">
        <v>6.11</v>
      </c>
      <c r="K45" s="2">
        <f t="shared" si="0"/>
        <v>8.11</v>
      </c>
      <c r="L45" s="2">
        <f t="shared" si="1"/>
        <v>6.61</v>
      </c>
      <c r="M45">
        <v>9.3000000000000007</v>
      </c>
      <c r="N45" s="2">
        <v>269433.136</v>
      </c>
      <c r="O45" s="2">
        <v>270114.40000000002</v>
      </c>
      <c r="P45" s="2">
        <v>10469.253000000001</v>
      </c>
      <c r="Q45" s="2">
        <v>52103.5</v>
      </c>
      <c r="R45" s="2">
        <v>13306.5</v>
      </c>
      <c r="S45" s="2">
        <v>179667.53700000001</v>
      </c>
      <c r="T45" s="2">
        <v>63918</v>
      </c>
      <c r="U45" s="2">
        <f>SUM(bs_rates_ovt[[#This Row],[deposits_overnight]:[other_funding]])</f>
        <v>859012.32600000012</v>
      </c>
    </row>
    <row r="46" spans="1:21">
      <c r="A46" s="1">
        <v>39692</v>
      </c>
      <c r="B46">
        <v>38396.699999999997</v>
      </c>
      <c r="C46">
        <v>268396.09999999998</v>
      </c>
      <c r="D46">
        <v>129429.1</v>
      </c>
      <c r="E46">
        <v>5459.3</v>
      </c>
      <c r="F46">
        <v>19992.3</v>
      </c>
      <c r="G46" s="3">
        <v>557096.1</v>
      </c>
      <c r="H46">
        <v>1018769.6</v>
      </c>
      <c r="I46" s="2">
        <v>6.4744444444444431</v>
      </c>
      <c r="J46" s="2">
        <v>5.89</v>
      </c>
      <c r="K46" s="2">
        <f t="shared" si="0"/>
        <v>7.89</v>
      </c>
      <c r="L46" s="2">
        <f t="shared" si="1"/>
        <v>6.39</v>
      </c>
      <c r="M46">
        <v>9.41</v>
      </c>
      <c r="N46" s="2">
        <v>272467.92</v>
      </c>
      <c r="O46" s="2">
        <v>273157.5</v>
      </c>
      <c r="P46" s="2">
        <v>7616.585</v>
      </c>
      <c r="Q46" s="2">
        <v>44482.9</v>
      </c>
      <c r="R46" s="2">
        <v>13440.8</v>
      </c>
      <c r="S46" s="2">
        <v>188626.54800000001</v>
      </c>
      <c r="T46" s="2">
        <v>66278</v>
      </c>
      <c r="U46" s="2">
        <f>SUM(bs_rates_ovt[[#This Row],[deposits_overnight]:[other_funding]])</f>
        <v>866070.25300000003</v>
      </c>
    </row>
    <row r="47" spans="1:21">
      <c r="A47" s="1">
        <v>39722</v>
      </c>
      <c r="B47">
        <v>48133.3</v>
      </c>
      <c r="C47">
        <v>260319.693</v>
      </c>
      <c r="D47">
        <v>132143.29999999999</v>
      </c>
      <c r="E47">
        <v>5312</v>
      </c>
      <c r="F47">
        <v>20598.900000000001</v>
      </c>
      <c r="G47" s="3">
        <v>589120.1</v>
      </c>
      <c r="H47">
        <v>1055627.2930000001</v>
      </c>
      <c r="I47" s="2">
        <v>6.43</v>
      </c>
      <c r="J47" s="2">
        <v>6.35</v>
      </c>
      <c r="K47" s="2">
        <f t="shared" si="0"/>
        <v>8.35</v>
      </c>
      <c r="L47" s="2">
        <f t="shared" si="1"/>
        <v>6.85</v>
      </c>
      <c r="M47">
        <v>9.4700000000000006</v>
      </c>
      <c r="N47" s="2">
        <v>254859.23800000001</v>
      </c>
      <c r="O47" s="2">
        <v>290620</v>
      </c>
      <c r="P47" s="2">
        <v>5476.4939999999997</v>
      </c>
      <c r="Q47" s="2">
        <v>44944.3</v>
      </c>
      <c r="R47" s="2">
        <v>12908.3</v>
      </c>
      <c r="S47" s="2">
        <v>200303.753</v>
      </c>
      <c r="T47" s="2">
        <v>87114.8</v>
      </c>
      <c r="U47" s="2">
        <f>SUM(bs_rates_ovt[[#This Row],[deposits_overnight]:[other_funding]])</f>
        <v>896226.88500000013</v>
      </c>
    </row>
    <row r="48" spans="1:21">
      <c r="A48" s="1">
        <v>39753</v>
      </c>
      <c r="B48">
        <v>51653.8</v>
      </c>
      <c r="C48">
        <v>269405.36300000001</v>
      </c>
      <c r="D48">
        <v>134299.70000000001</v>
      </c>
      <c r="E48">
        <v>5051.8</v>
      </c>
      <c r="F48">
        <v>21154.5</v>
      </c>
      <c r="G48" s="3">
        <v>596692.1</v>
      </c>
      <c r="H48">
        <v>1078257.263</v>
      </c>
      <c r="I48" s="2">
        <v>5.7911111111111095</v>
      </c>
      <c r="J48" s="2">
        <v>6.23</v>
      </c>
      <c r="K48" s="2">
        <f t="shared" si="0"/>
        <v>8.23</v>
      </c>
      <c r="L48" s="2">
        <f t="shared" si="1"/>
        <v>6.73</v>
      </c>
      <c r="M48">
        <v>9.5399999999999991</v>
      </c>
      <c r="N48" s="2">
        <v>254823.88</v>
      </c>
      <c r="O48" s="2">
        <v>303799.09999999998</v>
      </c>
      <c r="P48" s="2">
        <v>5749.4830000000002</v>
      </c>
      <c r="Q48" s="2">
        <v>45035.3</v>
      </c>
      <c r="R48" s="2">
        <v>12574.5</v>
      </c>
      <c r="S48" s="2">
        <v>202755.83300000001</v>
      </c>
      <c r="T48" s="2">
        <v>98089.5</v>
      </c>
      <c r="U48" s="2">
        <f>SUM(bs_rates_ovt[[#This Row],[deposits_overnight]:[other_funding]])</f>
        <v>922827.59600000002</v>
      </c>
    </row>
    <row r="49" spans="1:21">
      <c r="A49" s="1">
        <v>39783</v>
      </c>
      <c r="B49">
        <v>53515.3</v>
      </c>
      <c r="C49">
        <v>271021.03200000001</v>
      </c>
      <c r="D49">
        <v>149412.9</v>
      </c>
      <c r="E49">
        <v>5198</v>
      </c>
      <c r="F49">
        <v>24417.1</v>
      </c>
      <c r="G49" s="3">
        <v>623440.80000000005</v>
      </c>
      <c r="H49">
        <v>1127005.132</v>
      </c>
      <c r="I49" s="2">
        <v>5.1522222222222203</v>
      </c>
      <c r="J49" s="2">
        <v>5.7</v>
      </c>
      <c r="K49" s="2">
        <f t="shared" si="0"/>
        <v>7.7</v>
      </c>
      <c r="L49" s="2">
        <f t="shared" si="1"/>
        <v>6.2</v>
      </c>
      <c r="M49">
        <v>9.5200000000000014</v>
      </c>
      <c r="N49" s="2">
        <v>259130.85200000001</v>
      </c>
      <c r="O49" s="2">
        <v>319192.59999999998</v>
      </c>
      <c r="P49" s="2">
        <v>3468.1509999999998</v>
      </c>
      <c r="Q49" s="2">
        <v>42420.7</v>
      </c>
      <c r="R49" s="2">
        <v>12293.1</v>
      </c>
      <c r="S49" s="2">
        <v>223616.033</v>
      </c>
      <c r="T49" s="2">
        <v>67693.8</v>
      </c>
      <c r="U49" s="2">
        <f>SUM(bs_rates_ovt[[#This Row],[deposits_overnight]:[other_funding]])</f>
        <v>927815.23600000003</v>
      </c>
    </row>
    <row r="50" spans="1:21">
      <c r="A50" s="1">
        <v>39814</v>
      </c>
      <c r="B50">
        <v>61123.7</v>
      </c>
      <c r="C50">
        <v>294109.35600000003</v>
      </c>
      <c r="D50">
        <v>145016.5</v>
      </c>
      <c r="E50">
        <v>4972.6000000000004</v>
      </c>
      <c r="F50">
        <v>24529.9</v>
      </c>
      <c r="G50" s="3">
        <v>640885.30000000005</v>
      </c>
      <c r="H50">
        <v>1170637.3560000001</v>
      </c>
      <c r="I50" s="2">
        <v>4.5133333333333301</v>
      </c>
      <c r="J50" s="2">
        <v>5.46</v>
      </c>
      <c r="K50" s="2">
        <f t="shared" si="0"/>
        <v>7.46</v>
      </c>
      <c r="L50" s="2">
        <f t="shared" si="1"/>
        <v>5.96</v>
      </c>
      <c r="M50">
        <v>9.2799999999999994</v>
      </c>
      <c r="N50" s="2">
        <v>252686.24799999999</v>
      </c>
      <c r="O50" s="2">
        <v>331122.90000000002</v>
      </c>
      <c r="P50" s="2">
        <v>3595.6030000000001</v>
      </c>
      <c r="Q50" s="2">
        <v>43714.3</v>
      </c>
      <c r="R50" s="2">
        <v>12238.2</v>
      </c>
      <c r="S50" s="2">
        <v>238078.997</v>
      </c>
      <c r="T50" s="2">
        <v>72899</v>
      </c>
      <c r="U50" s="2">
        <f>SUM(bs_rates_ovt[[#This Row],[deposits_overnight]:[other_funding]])</f>
        <v>954335.24800000002</v>
      </c>
    </row>
    <row r="51" spans="1:21">
      <c r="A51" s="1">
        <v>39845</v>
      </c>
      <c r="B51">
        <v>59227.3</v>
      </c>
      <c r="C51">
        <v>310340.07299999997</v>
      </c>
      <c r="D51">
        <v>153629.5</v>
      </c>
      <c r="E51">
        <v>5165.8999999999996</v>
      </c>
      <c r="F51">
        <v>24542.6</v>
      </c>
      <c r="G51" s="3">
        <v>655953.5</v>
      </c>
      <c r="H51">
        <v>1208858.8729999999</v>
      </c>
      <c r="I51" s="2">
        <v>4.4933333333333296</v>
      </c>
      <c r="J51" s="2">
        <v>5.97</v>
      </c>
      <c r="K51" s="2">
        <f t="shared" si="0"/>
        <v>7.97</v>
      </c>
      <c r="L51" s="2">
        <f t="shared" si="1"/>
        <v>6.47</v>
      </c>
      <c r="M51">
        <v>8.91</v>
      </c>
      <c r="N51" s="2">
        <v>256792.48199999999</v>
      </c>
      <c r="O51" s="2">
        <v>336098.9</v>
      </c>
      <c r="P51" s="2">
        <v>4353.665</v>
      </c>
      <c r="Q51" s="2">
        <v>51438.2</v>
      </c>
      <c r="R51" s="2">
        <v>12653.9</v>
      </c>
      <c r="S51" s="2">
        <v>245264.10800000001</v>
      </c>
      <c r="T51" s="2">
        <v>68475.7</v>
      </c>
      <c r="U51" s="2">
        <f>SUM(bs_rates_ovt[[#This Row],[deposits_overnight]:[other_funding]])</f>
        <v>975076.95499999996</v>
      </c>
    </row>
    <row r="52" spans="1:21">
      <c r="A52" s="1">
        <v>39873</v>
      </c>
      <c r="B52">
        <v>55068.3</v>
      </c>
      <c r="C52">
        <v>292542.02399999998</v>
      </c>
      <c r="D52">
        <v>161032.79999999999</v>
      </c>
      <c r="E52">
        <v>4883</v>
      </c>
      <c r="F52">
        <v>24261.5</v>
      </c>
      <c r="G52" s="3">
        <v>659999.4</v>
      </c>
      <c r="H52">
        <v>1197787.024</v>
      </c>
      <c r="I52" s="2">
        <v>4.4733333333333301</v>
      </c>
      <c r="J52" s="2">
        <v>6.2231818179999996</v>
      </c>
      <c r="K52" s="2">
        <f t="shared" si="0"/>
        <v>8.2231818180000005</v>
      </c>
      <c r="L52" s="2">
        <f t="shared" si="1"/>
        <v>6.7231818179999996</v>
      </c>
      <c r="M52">
        <v>8.4699999999999989</v>
      </c>
      <c r="N52" s="2">
        <v>265802.48100000003</v>
      </c>
      <c r="O52" s="2">
        <v>331374.7</v>
      </c>
      <c r="P52" s="2">
        <v>2550.8319999999999</v>
      </c>
      <c r="Q52" s="2">
        <v>46961.9</v>
      </c>
      <c r="R52" s="2">
        <v>12434</v>
      </c>
      <c r="S52" s="2">
        <v>239504.24400000001</v>
      </c>
      <c r="T52" s="2">
        <v>62985.599999999999</v>
      </c>
      <c r="U52" s="2">
        <f>SUM(bs_rates_ovt[[#This Row],[deposits_overnight]:[other_funding]])</f>
        <v>961613.7570000001</v>
      </c>
    </row>
    <row r="53" spans="1:21">
      <c r="A53" s="1">
        <v>39904</v>
      </c>
      <c r="B53">
        <v>50095.4</v>
      </c>
      <c r="C53">
        <v>283264.57699999999</v>
      </c>
      <c r="D53">
        <v>161232.5</v>
      </c>
      <c r="E53">
        <v>4475.6000000000004</v>
      </c>
      <c r="F53">
        <v>24439.599999999999</v>
      </c>
      <c r="G53" s="3">
        <v>647708.4</v>
      </c>
      <c r="H53">
        <v>1171216.077</v>
      </c>
      <c r="I53" s="2">
        <v>4.4533333333333296</v>
      </c>
      <c r="J53" s="2">
        <v>6.19</v>
      </c>
      <c r="K53" s="2">
        <f t="shared" si="0"/>
        <v>8.1900000000000013</v>
      </c>
      <c r="L53" s="2">
        <f t="shared" si="1"/>
        <v>6.69</v>
      </c>
      <c r="M53">
        <v>8.1199999999999992</v>
      </c>
      <c r="N53" s="2">
        <v>259658.30499999999</v>
      </c>
      <c r="O53" s="2">
        <v>332374.2</v>
      </c>
      <c r="P53" s="2">
        <v>2501.6080000000002</v>
      </c>
      <c r="Q53" s="2">
        <v>53916.800000000003</v>
      </c>
      <c r="R53" s="2">
        <v>12305</v>
      </c>
      <c r="S53" s="2">
        <v>227321.53200000001</v>
      </c>
      <c r="T53" s="2">
        <v>59439.9</v>
      </c>
      <c r="U53" s="2">
        <f>SUM(bs_rates_ovt[[#This Row],[deposits_overnight]:[other_funding]])</f>
        <v>947517.34500000009</v>
      </c>
    </row>
    <row r="54" spans="1:21">
      <c r="A54" s="1">
        <v>39934</v>
      </c>
      <c r="B54">
        <v>46923.8</v>
      </c>
      <c r="C54">
        <v>286010.886</v>
      </c>
      <c r="D54">
        <v>157653.5</v>
      </c>
      <c r="E54">
        <v>4542.2</v>
      </c>
      <c r="F54">
        <v>24589.9</v>
      </c>
      <c r="G54" s="3">
        <v>655144.6</v>
      </c>
      <c r="H54">
        <v>1174864.8859999999</v>
      </c>
      <c r="I54" s="2">
        <v>4.3611111111111098</v>
      </c>
      <c r="J54" s="2">
        <v>6.3140000000000001</v>
      </c>
      <c r="K54" s="2">
        <f t="shared" si="0"/>
        <v>8.3140000000000001</v>
      </c>
      <c r="L54" s="2">
        <f t="shared" si="1"/>
        <v>6.8140000000000001</v>
      </c>
      <c r="M54">
        <v>8.0399999999999991</v>
      </c>
      <c r="N54" s="2">
        <v>267781.14299999998</v>
      </c>
      <c r="O54" s="2">
        <v>329817.8</v>
      </c>
      <c r="P54" s="2">
        <v>2606.5729999999999</v>
      </c>
      <c r="Q54" s="2">
        <v>47617.7</v>
      </c>
      <c r="R54" s="2">
        <v>11860.5</v>
      </c>
      <c r="S54" s="2">
        <v>230468.367</v>
      </c>
      <c r="T54" s="2">
        <v>55889.5</v>
      </c>
      <c r="U54" s="2">
        <f>SUM(bs_rates_ovt[[#This Row],[deposits_overnight]:[other_funding]])</f>
        <v>946041.58299999987</v>
      </c>
    </row>
    <row r="55" spans="1:21">
      <c r="A55" s="1">
        <v>39965</v>
      </c>
      <c r="B55">
        <v>39903.199999999997</v>
      </c>
      <c r="C55">
        <v>281965.587</v>
      </c>
      <c r="D55">
        <v>157195.1</v>
      </c>
      <c r="E55">
        <v>4296.8</v>
      </c>
      <c r="F55">
        <v>24965.5</v>
      </c>
      <c r="G55" s="3">
        <v>658565.30000000005</v>
      </c>
      <c r="H55">
        <v>1166891.487</v>
      </c>
      <c r="I55" s="2">
        <v>4.2688888888888901</v>
      </c>
      <c r="J55" s="2">
        <v>6.34</v>
      </c>
      <c r="K55" s="2">
        <f t="shared" si="0"/>
        <v>8.34</v>
      </c>
      <c r="L55" s="2">
        <f t="shared" si="1"/>
        <v>6.84</v>
      </c>
      <c r="M55">
        <v>8.34</v>
      </c>
      <c r="N55" s="2">
        <v>278347.83299999998</v>
      </c>
      <c r="O55" s="2">
        <v>326191.09999999998</v>
      </c>
      <c r="P55" s="2">
        <v>3689.3679999999999</v>
      </c>
      <c r="Q55" s="2">
        <v>42494.400000000001</v>
      </c>
      <c r="R55" s="2">
        <v>11913.7</v>
      </c>
      <c r="S55" s="2">
        <v>224450.55300000001</v>
      </c>
      <c r="T55" s="2">
        <v>48287.1</v>
      </c>
      <c r="U55" s="2">
        <f>SUM(bs_rates_ovt[[#This Row],[deposits_overnight]:[other_funding]])</f>
        <v>935374.05399999989</v>
      </c>
    </row>
    <row r="56" spans="1:21">
      <c r="A56" s="1">
        <v>39995</v>
      </c>
      <c r="B56">
        <v>36885.5</v>
      </c>
      <c r="C56">
        <v>275659.033</v>
      </c>
      <c r="D56">
        <v>156736.5</v>
      </c>
      <c r="E56">
        <v>4063.7</v>
      </c>
      <c r="F56">
        <v>24978.2</v>
      </c>
      <c r="G56" s="3">
        <v>645365.1</v>
      </c>
      <c r="H56">
        <v>1143688.0330000001</v>
      </c>
      <c r="I56" s="2">
        <v>4.1766666666666703</v>
      </c>
      <c r="J56" s="2">
        <v>6.19</v>
      </c>
      <c r="K56" s="2">
        <f t="shared" si="0"/>
        <v>8.1900000000000013</v>
      </c>
      <c r="L56" s="2">
        <f t="shared" si="1"/>
        <v>6.69</v>
      </c>
      <c r="M56">
        <v>8.19</v>
      </c>
      <c r="N56" s="2">
        <v>272156.87099999998</v>
      </c>
      <c r="O56" s="2">
        <v>328146.5</v>
      </c>
      <c r="P56" s="2">
        <v>4467.8950000000004</v>
      </c>
      <c r="Q56" s="2">
        <v>51842.1</v>
      </c>
      <c r="R56" s="2">
        <v>11883.9</v>
      </c>
      <c r="S56" s="2">
        <v>210216.921</v>
      </c>
      <c r="T56" s="2">
        <v>44390.1</v>
      </c>
      <c r="U56" s="2">
        <f>SUM(bs_rates_ovt[[#This Row],[deposits_overnight]:[other_funding]])</f>
        <v>923104.28700000001</v>
      </c>
    </row>
    <row r="57" spans="1:21">
      <c r="A57" s="1">
        <v>40026</v>
      </c>
      <c r="B57">
        <v>34533.800000000003</v>
      </c>
      <c r="C57">
        <v>282370.092</v>
      </c>
      <c r="D57">
        <v>156632.5</v>
      </c>
      <c r="E57">
        <v>4105.8999999999996</v>
      </c>
      <c r="F57">
        <v>26068.3</v>
      </c>
      <c r="G57" s="3">
        <v>648882.4</v>
      </c>
      <c r="H57">
        <v>1152592.9920000001</v>
      </c>
      <c r="I57" s="2">
        <v>4.18888888888889</v>
      </c>
      <c r="J57" s="2">
        <v>6.08</v>
      </c>
      <c r="K57" s="2">
        <f t="shared" si="0"/>
        <v>8.08</v>
      </c>
      <c r="L57" s="2">
        <f t="shared" si="1"/>
        <v>6.58</v>
      </c>
      <c r="M57">
        <v>8.17</v>
      </c>
      <c r="N57" s="2">
        <v>280137.96500000003</v>
      </c>
      <c r="O57" s="2">
        <v>317446.7</v>
      </c>
      <c r="P57" s="2">
        <v>4047.2640000000001</v>
      </c>
      <c r="Q57" s="2">
        <v>65504.1</v>
      </c>
      <c r="R57" s="2">
        <v>12347.3</v>
      </c>
      <c r="S57" s="2">
        <v>213026.58300000001</v>
      </c>
      <c r="T57" s="2">
        <v>45303.199999999997</v>
      </c>
      <c r="U57" s="2">
        <f>SUM(bs_rates_ovt[[#This Row],[deposits_overnight]:[other_funding]])</f>
        <v>937813.11199999996</v>
      </c>
    </row>
    <row r="58" spans="1:21">
      <c r="A58" s="1">
        <v>40057</v>
      </c>
      <c r="B58">
        <v>32919.800000000003</v>
      </c>
      <c r="C58">
        <v>285945.99300000002</v>
      </c>
      <c r="D58">
        <v>154114.4</v>
      </c>
      <c r="E58">
        <v>4580.5</v>
      </c>
      <c r="F58">
        <v>26710.5</v>
      </c>
      <c r="G58" s="3">
        <v>660279.4</v>
      </c>
      <c r="H58">
        <v>1164550.5929999999</v>
      </c>
      <c r="I58" s="2">
        <v>4.2011111111111106</v>
      </c>
      <c r="J58" s="2">
        <v>6.17</v>
      </c>
      <c r="K58" s="2">
        <f t="shared" si="0"/>
        <v>8.17</v>
      </c>
      <c r="L58" s="2">
        <f t="shared" si="1"/>
        <v>6.67</v>
      </c>
      <c r="M58">
        <v>8.2799999999999994</v>
      </c>
      <c r="N58" s="2">
        <v>283164.712</v>
      </c>
      <c r="O58" s="2">
        <v>321754.5</v>
      </c>
      <c r="P58" s="2">
        <v>3399.2849999999999</v>
      </c>
      <c r="Q58" s="2">
        <v>64604.1</v>
      </c>
      <c r="R58" s="2">
        <v>12412.9</v>
      </c>
      <c r="S58" s="2">
        <v>218055.77499999999</v>
      </c>
      <c r="T58" s="2">
        <v>42965.5</v>
      </c>
      <c r="U58" s="2">
        <f>SUM(bs_rates_ovt[[#This Row],[deposits_overnight]:[other_funding]])</f>
        <v>946356.77200000011</v>
      </c>
    </row>
    <row r="59" spans="1:21">
      <c r="A59" s="1">
        <v>40087</v>
      </c>
      <c r="B59">
        <v>33323.599999999999</v>
      </c>
      <c r="C59">
        <v>299570.88900000002</v>
      </c>
      <c r="D59">
        <v>155218.5</v>
      </c>
      <c r="E59">
        <v>4317.5</v>
      </c>
      <c r="F59">
        <v>29989.8</v>
      </c>
      <c r="G59" s="3">
        <v>674076.1</v>
      </c>
      <c r="H59">
        <v>1196496.389</v>
      </c>
      <c r="I59" s="2">
        <v>4.2133333333333303</v>
      </c>
      <c r="J59" s="2">
        <v>6.15</v>
      </c>
      <c r="K59" s="2">
        <f t="shared" si="0"/>
        <v>8.15</v>
      </c>
      <c r="L59" s="2">
        <f t="shared" si="1"/>
        <v>6.65</v>
      </c>
      <c r="M59">
        <v>8.2000000000000011</v>
      </c>
      <c r="N59" s="2">
        <v>289210.30800000002</v>
      </c>
      <c r="O59" s="2">
        <v>329428.40000000002</v>
      </c>
      <c r="P59" s="2">
        <v>9839.2759999999998</v>
      </c>
      <c r="Q59" s="2">
        <v>66043.899999999994</v>
      </c>
      <c r="R59" s="2">
        <v>14422.8</v>
      </c>
      <c r="S59" s="2">
        <v>221832.17800000001</v>
      </c>
      <c r="T59" s="2">
        <v>48970.9</v>
      </c>
      <c r="U59" s="2">
        <f>SUM(bs_rates_ovt[[#This Row],[deposits_overnight]:[other_funding]])</f>
        <v>979747.76200000022</v>
      </c>
    </row>
    <row r="60" spans="1:21">
      <c r="A60" s="1">
        <v>40118</v>
      </c>
      <c r="B60">
        <v>31777.599999999999</v>
      </c>
      <c r="C60">
        <v>289480.58799999999</v>
      </c>
      <c r="D60">
        <v>155663.79999999999</v>
      </c>
      <c r="E60">
        <v>4356</v>
      </c>
      <c r="F60">
        <v>37500.699999999997</v>
      </c>
      <c r="G60" s="3">
        <v>668212.19999999995</v>
      </c>
      <c r="H60">
        <v>1186990.8879999998</v>
      </c>
      <c r="I60" s="2">
        <v>4.1911111111111099</v>
      </c>
      <c r="J60" s="2">
        <v>6.14</v>
      </c>
      <c r="K60" s="2">
        <f t="shared" si="0"/>
        <v>8.14</v>
      </c>
      <c r="L60" s="2">
        <f t="shared" si="1"/>
        <v>6.64</v>
      </c>
      <c r="M60">
        <v>8.4</v>
      </c>
      <c r="N60" s="2">
        <v>293310.51799999998</v>
      </c>
      <c r="O60" s="2">
        <v>322536.5</v>
      </c>
      <c r="P60" s="2">
        <v>2520.1019999999999</v>
      </c>
      <c r="Q60" s="2">
        <v>67176.100000000006</v>
      </c>
      <c r="R60" s="2">
        <v>16925.3</v>
      </c>
      <c r="S60" s="2">
        <v>220486.18400000001</v>
      </c>
      <c r="T60" s="2">
        <v>47295.1</v>
      </c>
      <c r="U60" s="2">
        <f>SUM(bs_rates_ovt[[#This Row],[deposits_overnight]:[other_funding]])</f>
        <v>970249.80399999989</v>
      </c>
    </row>
    <row r="61" spans="1:21">
      <c r="A61" s="1">
        <v>40148</v>
      </c>
      <c r="B61">
        <v>27470.7</v>
      </c>
      <c r="C61">
        <v>280307.85100000002</v>
      </c>
      <c r="D61">
        <v>153243.9</v>
      </c>
      <c r="E61">
        <v>3831.4</v>
      </c>
      <c r="F61">
        <v>43889.9</v>
      </c>
      <c r="G61" s="3">
        <v>668479.6</v>
      </c>
      <c r="H61">
        <v>1177223.351</v>
      </c>
      <c r="I61" s="2">
        <v>4.1688888888888904</v>
      </c>
      <c r="J61" s="2">
        <v>6.22</v>
      </c>
      <c r="K61" s="2">
        <f t="shared" si="0"/>
        <v>8.2199999999999989</v>
      </c>
      <c r="L61" s="2">
        <f t="shared" si="1"/>
        <v>6.72</v>
      </c>
      <c r="M61">
        <v>8.34</v>
      </c>
      <c r="N61" s="2">
        <v>298567.22399999999</v>
      </c>
      <c r="O61" s="2">
        <v>335283.59999999998</v>
      </c>
      <c r="P61" s="2">
        <v>3093.732</v>
      </c>
      <c r="Q61" s="2">
        <v>48878</v>
      </c>
      <c r="R61" s="2">
        <v>18618.3</v>
      </c>
      <c r="S61" s="2">
        <v>211799.98</v>
      </c>
      <c r="T61" s="2">
        <v>36815.199999999997</v>
      </c>
      <c r="U61" s="2">
        <f>SUM(bs_rates_ovt[[#This Row],[deposits_overnight]:[other_funding]])</f>
        <v>953056.03599999996</v>
      </c>
    </row>
    <row r="62" spans="1:21">
      <c r="A62" s="1">
        <v>40179</v>
      </c>
      <c r="B62">
        <v>30135.599999999999</v>
      </c>
      <c r="C62">
        <v>296146.44699999999</v>
      </c>
      <c r="D62">
        <v>157808</v>
      </c>
      <c r="E62">
        <v>3714.4</v>
      </c>
      <c r="F62">
        <v>42273.9</v>
      </c>
      <c r="G62" s="3">
        <v>667928.6</v>
      </c>
      <c r="H62">
        <v>1198006.9469999999</v>
      </c>
      <c r="I62" s="2">
        <v>4.1466666666666701</v>
      </c>
      <c r="J62" s="2">
        <v>6.13</v>
      </c>
      <c r="K62" s="2">
        <f t="shared" si="0"/>
        <v>8.129999999999999</v>
      </c>
      <c r="L62" s="2">
        <f t="shared" si="1"/>
        <v>6.63</v>
      </c>
      <c r="M62">
        <v>8.34</v>
      </c>
      <c r="N62" s="2">
        <v>293400.92099999997</v>
      </c>
      <c r="O62" s="2">
        <v>333235.40000000002</v>
      </c>
      <c r="P62" s="2">
        <v>2757.817</v>
      </c>
      <c r="Q62" s="2">
        <v>69606.5</v>
      </c>
      <c r="R62" s="2">
        <v>19222.5</v>
      </c>
      <c r="S62" s="2">
        <v>212058.56400000001</v>
      </c>
      <c r="T62" s="2">
        <v>42460.2</v>
      </c>
      <c r="U62" s="2">
        <f>SUM(bs_rates_ovt[[#This Row],[deposits_overnight]:[other_funding]])</f>
        <v>972741.902</v>
      </c>
    </row>
    <row r="63" spans="1:21">
      <c r="A63" s="1">
        <v>40210</v>
      </c>
      <c r="B63">
        <v>32377.9</v>
      </c>
      <c r="C63">
        <v>300380.43900000001</v>
      </c>
      <c r="D63">
        <v>157445.70000000001</v>
      </c>
      <c r="E63">
        <v>3851.5</v>
      </c>
      <c r="F63">
        <v>41613.599999999999</v>
      </c>
      <c r="G63" s="3">
        <v>667974</v>
      </c>
      <c r="H63">
        <v>1203643.139</v>
      </c>
      <c r="I63" s="2">
        <v>4.0522222222222233</v>
      </c>
      <c r="J63" s="2">
        <v>6.09</v>
      </c>
      <c r="K63" s="2">
        <f t="shared" si="0"/>
        <v>8.09</v>
      </c>
      <c r="L63" s="2">
        <f t="shared" si="1"/>
        <v>6.59</v>
      </c>
      <c r="M63">
        <v>8.49</v>
      </c>
      <c r="N63" s="2">
        <v>295402.79499999998</v>
      </c>
      <c r="O63" s="2">
        <v>336758.3</v>
      </c>
      <c r="P63" s="2">
        <v>1934.9449999999999</v>
      </c>
      <c r="Q63" s="2">
        <v>67329.8</v>
      </c>
      <c r="R63" s="2">
        <v>19215.900000000001</v>
      </c>
      <c r="S63" s="2">
        <v>209859.88099999999</v>
      </c>
      <c r="T63" s="2">
        <v>43098.7</v>
      </c>
      <c r="U63" s="2">
        <f>SUM(bs_rates_ovt[[#This Row],[deposits_overnight]:[other_funding]])</f>
        <v>973600.321</v>
      </c>
    </row>
    <row r="64" spans="1:21">
      <c r="A64" s="1">
        <v>40238</v>
      </c>
      <c r="B64">
        <v>33534.300000000003</v>
      </c>
      <c r="C64">
        <v>299439.10700000002</v>
      </c>
      <c r="D64">
        <v>161261.1</v>
      </c>
      <c r="E64">
        <v>3802.2</v>
      </c>
      <c r="F64">
        <v>41642.1</v>
      </c>
      <c r="G64" s="3">
        <v>666251.1</v>
      </c>
      <c r="H64">
        <v>1205929.9070000001</v>
      </c>
      <c r="I64" s="2">
        <v>3.957777777777777</v>
      </c>
      <c r="J64" s="2">
        <v>5.72</v>
      </c>
      <c r="K64" s="2">
        <f t="shared" si="0"/>
        <v>7.72</v>
      </c>
      <c r="L64" s="2">
        <f t="shared" si="1"/>
        <v>6.22</v>
      </c>
      <c r="M64">
        <v>8.5</v>
      </c>
      <c r="N64" s="2">
        <v>300950.66899999999</v>
      </c>
      <c r="O64" s="2">
        <v>331869.3</v>
      </c>
      <c r="P64" s="2">
        <v>6190.85</v>
      </c>
      <c r="Q64" s="2">
        <v>62602.1</v>
      </c>
      <c r="R64" s="2">
        <v>18863.400000000001</v>
      </c>
      <c r="S64" s="2">
        <v>211392.728</v>
      </c>
      <c r="T64" s="2">
        <v>43404.1</v>
      </c>
      <c r="U64" s="2">
        <f>SUM(bs_rates_ovt[[#This Row],[deposits_overnight]:[other_funding]])</f>
        <v>975273.147</v>
      </c>
    </row>
    <row r="65" spans="1:21">
      <c r="A65" s="1">
        <v>40269</v>
      </c>
      <c r="B65">
        <v>31623.5</v>
      </c>
      <c r="C65">
        <v>310448.36900000001</v>
      </c>
      <c r="D65">
        <v>160434.1</v>
      </c>
      <c r="E65">
        <v>3608</v>
      </c>
      <c r="F65">
        <v>41460.1</v>
      </c>
      <c r="G65" s="3">
        <v>664736.4</v>
      </c>
      <c r="H65">
        <v>1212310.469</v>
      </c>
      <c r="I65" s="2">
        <v>3.8633333333333302</v>
      </c>
      <c r="J65" s="2">
        <v>5.57</v>
      </c>
      <c r="K65" s="2">
        <f t="shared" si="0"/>
        <v>7.57</v>
      </c>
      <c r="L65" s="2">
        <f t="shared" si="1"/>
        <v>6.07</v>
      </c>
      <c r="M65">
        <v>8.4500000000000011</v>
      </c>
      <c r="N65" s="2">
        <v>298863.076</v>
      </c>
      <c r="O65" s="2">
        <v>333669.09999999998</v>
      </c>
      <c r="P65" s="2">
        <v>5182.5690000000004</v>
      </c>
      <c r="Q65" s="2">
        <v>63363.9</v>
      </c>
      <c r="R65" s="2">
        <v>19059.599999999999</v>
      </c>
      <c r="S65" s="2">
        <v>213714.859</v>
      </c>
      <c r="T65" s="2">
        <v>45927.9</v>
      </c>
      <c r="U65" s="2">
        <f>SUM(bs_rates_ovt[[#This Row],[deposits_overnight]:[other_funding]])</f>
        <v>979781.00400000007</v>
      </c>
    </row>
    <row r="66" spans="1:21">
      <c r="A66" s="1">
        <v>40299</v>
      </c>
      <c r="B66">
        <v>31323.4</v>
      </c>
      <c r="C66">
        <v>346333.59299999999</v>
      </c>
      <c r="D66">
        <v>162329.60000000001</v>
      </c>
      <c r="E66">
        <v>3649.5</v>
      </c>
      <c r="F66">
        <v>41914.9</v>
      </c>
      <c r="G66" s="3">
        <v>681511.4</v>
      </c>
      <c r="H66">
        <v>1267062.3930000002</v>
      </c>
      <c r="I66" s="2">
        <v>3.849999999999997</v>
      </c>
      <c r="J66" s="2">
        <v>5.72</v>
      </c>
      <c r="K66" s="2">
        <f t="shared" si="0"/>
        <v>7.72</v>
      </c>
      <c r="L66" s="2">
        <f t="shared" si="1"/>
        <v>6.22</v>
      </c>
      <c r="M66">
        <v>8.3800000000000008</v>
      </c>
      <c r="N66" s="2">
        <v>316915.43</v>
      </c>
      <c r="O66" s="2">
        <v>330202</v>
      </c>
      <c r="P66" s="2">
        <v>5130.5640000000003</v>
      </c>
      <c r="Q66" s="2">
        <v>61117.2</v>
      </c>
      <c r="R66" s="2">
        <v>21468.9</v>
      </c>
      <c r="S66" s="2">
        <v>230145.13399999999</v>
      </c>
      <c r="T66" s="2">
        <v>46563.4</v>
      </c>
      <c r="U66" s="2">
        <f>SUM(bs_rates_ovt[[#This Row],[deposits_overnight]:[other_funding]])</f>
        <v>1011542.6279999999</v>
      </c>
    </row>
    <row r="67" spans="1:21">
      <c r="A67" s="1">
        <v>40330</v>
      </c>
      <c r="B67">
        <v>30855.7</v>
      </c>
      <c r="C67">
        <v>346688.47700000001</v>
      </c>
      <c r="D67">
        <v>162003.20000000001</v>
      </c>
      <c r="E67">
        <v>3786.1</v>
      </c>
      <c r="F67">
        <v>43930.6</v>
      </c>
      <c r="G67" s="3">
        <v>704132.7</v>
      </c>
      <c r="H67">
        <v>1291396.777</v>
      </c>
      <c r="I67" s="2">
        <v>3.8366666666666633</v>
      </c>
      <c r="J67" s="2">
        <v>5.87</v>
      </c>
      <c r="K67" s="2">
        <f t="shared" ref="K67:K130" si="2">J67+2</f>
        <v>7.87</v>
      </c>
      <c r="L67" s="2">
        <f t="shared" ref="L67:L130" si="3">J67+0.5</f>
        <v>6.37</v>
      </c>
      <c r="M67">
        <v>8.34</v>
      </c>
      <c r="N67" s="2">
        <v>322193.49800000002</v>
      </c>
      <c r="O67" s="2">
        <v>330239.7</v>
      </c>
      <c r="P67" s="2">
        <v>3478.2339999999999</v>
      </c>
      <c r="Q67" s="2">
        <v>60712.6</v>
      </c>
      <c r="R67" s="2">
        <v>24608.6</v>
      </c>
      <c r="S67" s="2">
        <v>235022.80900000001</v>
      </c>
      <c r="T67" s="2">
        <v>50710</v>
      </c>
      <c r="U67" s="2">
        <f>SUM(bs_rates_ovt[[#This Row],[deposits_overnight]:[other_funding]])</f>
        <v>1026965.4410000001</v>
      </c>
    </row>
    <row r="68" spans="1:21">
      <c r="A68" s="1">
        <v>40360</v>
      </c>
      <c r="B68">
        <v>32599.4</v>
      </c>
      <c r="C68">
        <v>339756.09899999999</v>
      </c>
      <c r="D68">
        <v>161687.70000000001</v>
      </c>
      <c r="E68">
        <v>4660.1000000000004</v>
      </c>
      <c r="F68">
        <v>45909.7</v>
      </c>
      <c r="G68" s="3">
        <v>692087</v>
      </c>
      <c r="H68">
        <v>1276699.9989999998</v>
      </c>
      <c r="I68" s="2">
        <v>3.8233333333333301</v>
      </c>
      <c r="J68" s="2">
        <v>5.84</v>
      </c>
      <c r="K68" s="2">
        <f t="shared" si="2"/>
        <v>7.84</v>
      </c>
      <c r="L68" s="2">
        <f t="shared" si="3"/>
        <v>6.34</v>
      </c>
      <c r="M68">
        <v>8.25</v>
      </c>
      <c r="N68" s="2">
        <v>321335.62900000002</v>
      </c>
      <c r="O68" s="2">
        <v>329028.8</v>
      </c>
      <c r="P68" s="2">
        <v>6157.85</v>
      </c>
      <c r="Q68" s="2">
        <v>68384.2</v>
      </c>
      <c r="R68" s="2">
        <v>24305.9</v>
      </c>
      <c r="S68" s="2">
        <v>230625.75899999999</v>
      </c>
      <c r="T68" s="2">
        <v>48595.7</v>
      </c>
      <c r="U68" s="2">
        <f>SUM(bs_rates_ovt[[#This Row],[deposits_overnight]:[other_funding]])</f>
        <v>1028433.8379999999</v>
      </c>
    </row>
    <row r="69" spans="1:21">
      <c r="A69" s="1">
        <v>40391</v>
      </c>
      <c r="B69">
        <v>32906.800000000003</v>
      </c>
      <c r="C69">
        <v>347379.43599999999</v>
      </c>
      <c r="D69">
        <v>156162.4</v>
      </c>
      <c r="E69">
        <v>4748.3999999999996</v>
      </c>
      <c r="F69">
        <v>48842.3</v>
      </c>
      <c r="G69" s="3">
        <v>705651.1</v>
      </c>
      <c r="H69">
        <v>1295690.436</v>
      </c>
      <c r="I69" s="2">
        <v>3.8466666666666636</v>
      </c>
      <c r="J69" s="2">
        <v>5.62</v>
      </c>
      <c r="K69" s="2">
        <f t="shared" si="2"/>
        <v>7.62</v>
      </c>
      <c r="L69" s="2">
        <f t="shared" si="3"/>
        <v>6.12</v>
      </c>
      <c r="M69">
        <v>8.2799999999999994</v>
      </c>
      <c r="N69" s="2">
        <v>328305.37800000003</v>
      </c>
      <c r="O69" s="2">
        <v>327312.7</v>
      </c>
      <c r="P69" s="2">
        <v>7638.04</v>
      </c>
      <c r="Q69" s="2">
        <v>69304.600000000006</v>
      </c>
      <c r="R69" s="2">
        <v>24880.5</v>
      </c>
      <c r="S69" s="2">
        <v>232952.12899999999</v>
      </c>
      <c r="T69" s="2">
        <v>48721.9</v>
      </c>
      <c r="U69" s="2">
        <f>SUM(bs_rates_ovt[[#This Row],[deposits_overnight]:[other_funding]])</f>
        <v>1039115.247</v>
      </c>
    </row>
    <row r="70" spans="1:21">
      <c r="A70" s="1">
        <v>40422</v>
      </c>
      <c r="B70">
        <v>31518.1</v>
      </c>
      <c r="C70">
        <v>337313.16499999998</v>
      </c>
      <c r="D70">
        <v>162911.1</v>
      </c>
      <c r="E70">
        <v>4655.1000000000004</v>
      </c>
      <c r="F70">
        <v>50150.2</v>
      </c>
      <c r="G70" s="3">
        <v>707791.9</v>
      </c>
      <c r="H70">
        <v>1294339.5649999999</v>
      </c>
      <c r="I70" s="2">
        <v>3.8699999999999966</v>
      </c>
      <c r="J70" s="2">
        <v>5.49</v>
      </c>
      <c r="K70" s="2">
        <f t="shared" si="2"/>
        <v>7.49</v>
      </c>
      <c r="L70" s="2">
        <f t="shared" si="3"/>
        <v>5.99</v>
      </c>
      <c r="M70">
        <v>8.3099999999999987</v>
      </c>
      <c r="N70" s="2">
        <v>327539.90999999997</v>
      </c>
      <c r="O70" s="2">
        <v>334752.5</v>
      </c>
      <c r="P70" s="2">
        <v>5450.5219999999999</v>
      </c>
      <c r="Q70" s="2">
        <v>76270.5</v>
      </c>
      <c r="R70" s="2">
        <v>24405.8</v>
      </c>
      <c r="S70" s="2">
        <v>233393.08300000001</v>
      </c>
      <c r="T70" s="2">
        <v>45693.4</v>
      </c>
      <c r="U70" s="2">
        <f>SUM(bs_rates_ovt[[#This Row],[deposits_overnight]:[other_funding]])</f>
        <v>1047505.715</v>
      </c>
    </row>
    <row r="71" spans="1:21">
      <c r="A71" s="1">
        <v>40452</v>
      </c>
      <c r="B71">
        <v>32943.199999999997</v>
      </c>
      <c r="C71">
        <v>336723.179</v>
      </c>
      <c r="D71">
        <v>166365.9</v>
      </c>
      <c r="E71">
        <v>4350.5</v>
      </c>
      <c r="F71">
        <v>52391.199999999997</v>
      </c>
      <c r="G71" s="3">
        <v>707503.7</v>
      </c>
      <c r="H71">
        <v>1300277.679</v>
      </c>
      <c r="I71" s="2">
        <v>3.89333333333333</v>
      </c>
      <c r="J71" s="2">
        <v>5.53</v>
      </c>
      <c r="K71" s="2">
        <f t="shared" si="2"/>
        <v>7.53</v>
      </c>
      <c r="L71" s="2">
        <f t="shared" si="3"/>
        <v>6.03</v>
      </c>
      <c r="M71">
        <v>8.24</v>
      </c>
      <c r="N71" s="2">
        <v>328128.22700000001</v>
      </c>
      <c r="O71" s="2">
        <v>337427.3</v>
      </c>
      <c r="P71" s="2">
        <v>5478.8810000000003</v>
      </c>
      <c r="Q71" s="2">
        <v>80298.7</v>
      </c>
      <c r="R71" s="2">
        <v>24513.200000000001</v>
      </c>
      <c r="S71" s="2">
        <v>232408.60699999999</v>
      </c>
      <c r="T71" s="2">
        <v>51452.2</v>
      </c>
      <c r="U71" s="2">
        <f>SUM(bs_rates_ovt[[#This Row],[deposits_overnight]:[other_funding]])</f>
        <v>1059707.115</v>
      </c>
    </row>
    <row r="72" spans="1:21">
      <c r="A72" s="1">
        <v>40483</v>
      </c>
      <c r="B72">
        <v>31082</v>
      </c>
      <c r="C72">
        <v>350703.88799999998</v>
      </c>
      <c r="D72">
        <v>161118.20000000001</v>
      </c>
      <c r="E72">
        <v>4784.8999999999996</v>
      </c>
      <c r="F72">
        <v>55219.8</v>
      </c>
      <c r="G72" s="3">
        <v>725861.7</v>
      </c>
      <c r="H72">
        <v>1328770.4879999999</v>
      </c>
      <c r="I72" s="2">
        <v>3.9777777777777765</v>
      </c>
      <c r="J72" s="2">
        <v>5.82</v>
      </c>
      <c r="K72" s="2">
        <f t="shared" si="2"/>
        <v>7.82</v>
      </c>
      <c r="L72" s="2">
        <f t="shared" si="3"/>
        <v>6.32</v>
      </c>
      <c r="M72">
        <v>8.3800000000000008</v>
      </c>
      <c r="N72" s="2">
        <v>337347.46500000003</v>
      </c>
      <c r="O72" s="2">
        <v>335213.7</v>
      </c>
      <c r="P72" s="2">
        <v>5930.7979999999998</v>
      </c>
      <c r="Q72" s="2">
        <v>67779</v>
      </c>
      <c r="R72" s="2">
        <v>24937.4</v>
      </c>
      <c r="S72" s="2">
        <v>249637.21400000001</v>
      </c>
      <c r="T72" s="2">
        <v>49137.1</v>
      </c>
      <c r="U72" s="2">
        <f>SUM(bs_rates_ovt[[#This Row],[deposits_overnight]:[other_funding]])</f>
        <v>1069982.6770000001</v>
      </c>
    </row>
    <row r="73" spans="1:21">
      <c r="A73" s="1">
        <v>40513</v>
      </c>
      <c r="B73">
        <v>27716.7</v>
      </c>
      <c r="C73">
        <v>331430.56</v>
      </c>
      <c r="D73">
        <v>151013</v>
      </c>
      <c r="E73">
        <v>5221</v>
      </c>
      <c r="F73">
        <v>58331.1</v>
      </c>
      <c r="G73" s="3">
        <v>724652.2</v>
      </c>
      <c r="H73">
        <v>1298364.56</v>
      </c>
      <c r="I73" s="2">
        <v>4.0622222222222231</v>
      </c>
      <c r="J73" s="2">
        <v>5.98</v>
      </c>
      <c r="K73" s="2">
        <f t="shared" si="2"/>
        <v>7.98</v>
      </c>
      <c r="L73" s="2">
        <f t="shared" si="3"/>
        <v>6.48</v>
      </c>
      <c r="M73">
        <v>8.2199999999999989</v>
      </c>
      <c r="N73" s="2">
        <v>356485.00900000002</v>
      </c>
      <c r="O73" s="2">
        <v>334539.2</v>
      </c>
      <c r="P73" s="2">
        <v>6437.6890000000003</v>
      </c>
      <c r="Q73" s="2">
        <v>44846.7</v>
      </c>
      <c r="R73" s="2">
        <v>24702.400000000001</v>
      </c>
      <c r="S73" s="2">
        <v>241102.35699999999</v>
      </c>
      <c r="T73" s="2">
        <v>43833.9</v>
      </c>
      <c r="U73" s="2">
        <f>SUM(bs_rates_ovt[[#This Row],[deposits_overnight]:[other_funding]])</f>
        <v>1051947.2549999999</v>
      </c>
    </row>
    <row r="74" spans="1:21">
      <c r="A74" s="1">
        <v>40544</v>
      </c>
      <c r="B74">
        <v>29265.599999999999</v>
      </c>
      <c r="C74">
        <v>324648.82299999997</v>
      </c>
      <c r="D74">
        <v>155270.20000000001</v>
      </c>
      <c r="E74">
        <v>5454.2</v>
      </c>
      <c r="F74">
        <v>58406.400000000001</v>
      </c>
      <c r="G74" s="3">
        <v>721475.7</v>
      </c>
      <c r="H74">
        <v>1294520.923</v>
      </c>
      <c r="I74" s="2">
        <v>4.1466666666666701</v>
      </c>
      <c r="J74" s="2">
        <v>6.26</v>
      </c>
      <c r="K74" s="2">
        <f t="shared" si="2"/>
        <v>8.26</v>
      </c>
      <c r="L74" s="2">
        <f t="shared" si="3"/>
        <v>6.76</v>
      </c>
      <c r="M74">
        <v>8.17</v>
      </c>
      <c r="N74" s="2">
        <v>345784.86900000001</v>
      </c>
      <c r="O74" s="2">
        <v>334142.7</v>
      </c>
      <c r="P74" s="2">
        <v>5195.8779999999997</v>
      </c>
      <c r="Q74" s="2">
        <v>55539</v>
      </c>
      <c r="R74" s="2">
        <v>24173.599999999999</v>
      </c>
      <c r="S74" s="2">
        <v>242744.68599999999</v>
      </c>
      <c r="T74" s="2">
        <v>47188.5</v>
      </c>
      <c r="U74" s="2">
        <f>SUM(bs_rates_ovt[[#This Row],[deposits_overnight]:[other_funding]])</f>
        <v>1054769.233</v>
      </c>
    </row>
    <row r="75" spans="1:21">
      <c r="A75" s="1">
        <v>40575</v>
      </c>
      <c r="B75">
        <v>29684.799999999999</v>
      </c>
      <c r="C75">
        <v>346160.51500000001</v>
      </c>
      <c r="D75">
        <v>160842.29999999999</v>
      </c>
      <c r="E75">
        <v>4855.8</v>
      </c>
      <c r="F75">
        <v>58427.1</v>
      </c>
      <c r="G75" s="3">
        <v>727892.2</v>
      </c>
      <c r="H75">
        <v>1327862.7149999999</v>
      </c>
      <c r="I75" s="2">
        <v>4.2577777777777799</v>
      </c>
      <c r="J75" s="2">
        <v>6.26</v>
      </c>
      <c r="K75" s="2">
        <f t="shared" si="2"/>
        <v>8.26</v>
      </c>
      <c r="L75" s="2">
        <f t="shared" si="3"/>
        <v>6.76</v>
      </c>
      <c r="M75">
        <v>8.34</v>
      </c>
      <c r="N75" s="2">
        <v>352755.16399999999</v>
      </c>
      <c r="O75" s="2">
        <v>334238.90000000002</v>
      </c>
      <c r="P75" s="2">
        <v>3768.6469999999999</v>
      </c>
      <c r="Q75" s="2">
        <v>61115.3</v>
      </c>
      <c r="R75" s="2">
        <v>25708.1</v>
      </c>
      <c r="S75" s="2">
        <v>258400.37100000001</v>
      </c>
      <c r="T75" s="2">
        <v>43092.5</v>
      </c>
      <c r="U75" s="2">
        <f>SUM(bs_rates_ovt[[#This Row],[deposits_overnight]:[other_funding]])</f>
        <v>1079078.9820000001</v>
      </c>
    </row>
    <row r="76" spans="1:21">
      <c r="A76" s="1">
        <v>40603</v>
      </c>
      <c r="B76">
        <v>30830.400000000001</v>
      </c>
      <c r="C76">
        <v>356280.07799999998</v>
      </c>
      <c r="D76">
        <v>161690.29999999999</v>
      </c>
      <c r="E76">
        <v>4757.8999999999996</v>
      </c>
      <c r="F76">
        <v>58288.1</v>
      </c>
      <c r="G76" s="3">
        <v>734505.6</v>
      </c>
      <c r="H76">
        <v>1346352.378</v>
      </c>
      <c r="I76" s="2">
        <v>4.3688888888888906</v>
      </c>
      <c r="J76" s="2">
        <v>6.27</v>
      </c>
      <c r="K76" s="2">
        <f t="shared" si="2"/>
        <v>8.27</v>
      </c>
      <c r="L76" s="2">
        <f t="shared" si="3"/>
        <v>6.77</v>
      </c>
      <c r="M76">
        <v>8.24</v>
      </c>
      <c r="N76" s="2">
        <v>366685.78200000001</v>
      </c>
      <c r="O76" s="2">
        <v>343500.9</v>
      </c>
      <c r="P76" s="2">
        <v>4849.3220000000001</v>
      </c>
      <c r="Q76" s="2">
        <v>61262.1</v>
      </c>
      <c r="R76" s="2">
        <v>26113.7</v>
      </c>
      <c r="S76" s="2">
        <v>252861.98699999999</v>
      </c>
      <c r="T76" s="2">
        <v>41213.1</v>
      </c>
      <c r="U76" s="2">
        <f>SUM(bs_rates_ovt[[#This Row],[deposits_overnight]:[other_funding]])</f>
        <v>1096486.8910000001</v>
      </c>
    </row>
    <row r="77" spans="1:21">
      <c r="A77" s="1">
        <v>40634</v>
      </c>
      <c r="B77">
        <v>39524.400000000001</v>
      </c>
      <c r="C77">
        <v>345891.717</v>
      </c>
      <c r="D77">
        <v>160926.20000000001</v>
      </c>
      <c r="E77">
        <v>4979.3</v>
      </c>
      <c r="F77">
        <v>58389.2</v>
      </c>
      <c r="G77" s="3">
        <v>736224.2</v>
      </c>
      <c r="H77">
        <v>1345935.017</v>
      </c>
      <c r="I77" s="2">
        <v>4.4800000000000004</v>
      </c>
      <c r="J77" s="2">
        <v>6.14</v>
      </c>
      <c r="K77" s="2">
        <f t="shared" si="2"/>
        <v>8.14</v>
      </c>
      <c r="L77" s="2">
        <f t="shared" si="3"/>
        <v>6.64</v>
      </c>
      <c r="M77">
        <v>8.25</v>
      </c>
      <c r="N77" s="2">
        <v>347228.89899999998</v>
      </c>
      <c r="O77" s="2">
        <v>347839.8</v>
      </c>
      <c r="P77" s="2">
        <v>7158.98</v>
      </c>
      <c r="Q77" s="2">
        <v>63967.199999999997</v>
      </c>
      <c r="R77" s="2">
        <v>26353.4</v>
      </c>
      <c r="S77" s="2">
        <v>260960.67199999999</v>
      </c>
      <c r="T77" s="2">
        <v>44084.9</v>
      </c>
      <c r="U77" s="2">
        <f>SUM(bs_rates_ovt[[#This Row],[deposits_overnight]:[other_funding]])</f>
        <v>1097593.8509999998</v>
      </c>
    </row>
    <row r="78" spans="1:21">
      <c r="A78" s="1">
        <v>40664</v>
      </c>
      <c r="B78">
        <v>35902.199999999997</v>
      </c>
      <c r="C78">
        <v>347231.31900000002</v>
      </c>
      <c r="D78">
        <v>158732.1</v>
      </c>
      <c r="E78">
        <v>4925.3999999999996</v>
      </c>
      <c r="F78">
        <v>59266.2</v>
      </c>
      <c r="G78" s="3">
        <v>752705.7</v>
      </c>
      <c r="H78">
        <v>1358762.919</v>
      </c>
      <c r="I78" s="2">
        <v>4.5633333333333335</v>
      </c>
      <c r="J78" s="2">
        <v>6.06</v>
      </c>
      <c r="K78" s="2">
        <f t="shared" si="2"/>
        <v>8.0599999999999987</v>
      </c>
      <c r="L78" s="2">
        <f t="shared" si="3"/>
        <v>6.56</v>
      </c>
      <c r="M78">
        <v>8.3699999999999992</v>
      </c>
      <c r="N78" s="2">
        <v>353794.43800000002</v>
      </c>
      <c r="O78" s="2">
        <v>346198.2</v>
      </c>
      <c r="P78" s="2">
        <v>9377.2160000000003</v>
      </c>
      <c r="Q78" s="2">
        <v>62752</v>
      </c>
      <c r="R78" s="2">
        <v>28032.1</v>
      </c>
      <c r="S78" s="2">
        <v>261222.93900000001</v>
      </c>
      <c r="T78" s="2">
        <v>45140.5</v>
      </c>
      <c r="U78" s="2">
        <f>SUM(bs_rates_ovt[[#This Row],[deposits_overnight]:[other_funding]])</f>
        <v>1106517.3930000002</v>
      </c>
    </row>
    <row r="79" spans="1:21">
      <c r="A79" s="1">
        <v>40695</v>
      </c>
      <c r="B79">
        <v>35607.5</v>
      </c>
      <c r="C79">
        <v>351011.95799999998</v>
      </c>
      <c r="D79">
        <v>153792.79999999999</v>
      </c>
      <c r="E79">
        <v>5089.3999999999996</v>
      </c>
      <c r="F79">
        <v>60927.3</v>
      </c>
      <c r="G79" s="3">
        <v>765145.5</v>
      </c>
      <c r="H79">
        <v>1371574.4580000001</v>
      </c>
      <c r="I79" s="2">
        <v>4.6466666666666674</v>
      </c>
      <c r="J79" s="2">
        <v>5.88</v>
      </c>
      <c r="K79" s="2">
        <f t="shared" si="2"/>
        <v>7.88</v>
      </c>
      <c r="L79" s="2">
        <f t="shared" si="3"/>
        <v>6.38</v>
      </c>
      <c r="M79">
        <v>8.49</v>
      </c>
      <c r="N79" s="2">
        <v>356161.36900000001</v>
      </c>
      <c r="O79" s="2">
        <v>346584.7</v>
      </c>
      <c r="P79" s="2">
        <v>6087.5230000000001</v>
      </c>
      <c r="Q79" s="2">
        <v>73026.100000000006</v>
      </c>
      <c r="R79" s="2">
        <v>29742.9</v>
      </c>
      <c r="S79" s="2">
        <v>266921.56900000002</v>
      </c>
      <c r="T79" s="2">
        <v>47685</v>
      </c>
      <c r="U79" s="2">
        <f>SUM(bs_rates_ovt[[#This Row],[deposits_overnight]:[other_funding]])</f>
        <v>1126209.1610000001</v>
      </c>
    </row>
    <row r="80" spans="1:21">
      <c r="A80" s="1">
        <v>40725</v>
      </c>
      <c r="B80">
        <v>33545</v>
      </c>
      <c r="C80">
        <v>352001.49300000002</v>
      </c>
      <c r="D80">
        <v>146185.29999999999</v>
      </c>
      <c r="E80">
        <v>5337.7</v>
      </c>
      <c r="F80">
        <v>63675</v>
      </c>
      <c r="G80" s="3">
        <v>782090.9</v>
      </c>
      <c r="H80">
        <v>1382835.3930000002</v>
      </c>
      <c r="I80" s="2">
        <v>4.7300000000000004</v>
      </c>
      <c r="J80" s="2">
        <v>5.81</v>
      </c>
      <c r="K80" s="2">
        <f t="shared" si="2"/>
        <v>7.81</v>
      </c>
      <c r="L80" s="2">
        <f t="shared" si="3"/>
        <v>6.31</v>
      </c>
      <c r="M80">
        <v>8.52</v>
      </c>
      <c r="N80" s="2">
        <v>343849.554</v>
      </c>
      <c r="O80" s="2">
        <v>356592.7</v>
      </c>
      <c r="P80" s="2">
        <v>8207.2810000000009</v>
      </c>
      <c r="Q80" s="2">
        <v>72191.399999999994</v>
      </c>
      <c r="R80" s="2">
        <v>31964.3</v>
      </c>
      <c r="S80" s="2">
        <v>267907.72600000002</v>
      </c>
      <c r="T80" s="2">
        <v>49015.199999999997</v>
      </c>
      <c r="U80" s="2">
        <f>SUM(bs_rates_ovt[[#This Row],[deposits_overnight]:[other_funding]])</f>
        <v>1129728.1610000001</v>
      </c>
    </row>
    <row r="81" spans="1:21">
      <c r="A81" s="1">
        <v>40756</v>
      </c>
      <c r="B81">
        <v>33659.4</v>
      </c>
      <c r="C81">
        <v>367145.25699999998</v>
      </c>
      <c r="D81">
        <v>144465.5</v>
      </c>
      <c r="E81">
        <v>6751.5</v>
      </c>
      <c r="F81">
        <v>67761.600000000006</v>
      </c>
      <c r="G81" s="3">
        <v>791282.8</v>
      </c>
      <c r="H81">
        <v>1411066.057</v>
      </c>
      <c r="I81" s="2">
        <v>4.8055555555555571</v>
      </c>
      <c r="J81" s="2">
        <v>5.7</v>
      </c>
      <c r="K81" s="2">
        <f t="shared" si="2"/>
        <v>7.7</v>
      </c>
      <c r="L81" s="2">
        <f t="shared" si="3"/>
        <v>6.2</v>
      </c>
      <c r="M81">
        <v>8.58</v>
      </c>
      <c r="N81" s="2">
        <v>352000.64</v>
      </c>
      <c r="O81" s="2">
        <v>360723.1</v>
      </c>
      <c r="P81" s="2">
        <v>10918.04</v>
      </c>
      <c r="Q81" s="2">
        <v>73935.399999999994</v>
      </c>
      <c r="R81" s="2">
        <v>33540.5</v>
      </c>
      <c r="S81" s="2">
        <v>265180.054</v>
      </c>
      <c r="T81" s="2">
        <v>50536.800000000003</v>
      </c>
      <c r="U81" s="2">
        <f>SUM(bs_rates_ovt[[#This Row],[deposits_overnight]:[other_funding]])</f>
        <v>1146834.5340000002</v>
      </c>
    </row>
    <row r="82" spans="1:21">
      <c r="A82" s="1">
        <v>40787</v>
      </c>
      <c r="B82">
        <v>36191.599999999999</v>
      </c>
      <c r="C82">
        <v>394751.33600000001</v>
      </c>
      <c r="D82">
        <v>136127.1</v>
      </c>
      <c r="E82">
        <v>6546.2</v>
      </c>
      <c r="F82">
        <v>68464.7</v>
      </c>
      <c r="G82" s="3">
        <v>806544.8</v>
      </c>
      <c r="H82">
        <v>1448625.736</v>
      </c>
      <c r="I82" s="2">
        <v>4.881111111111113</v>
      </c>
      <c r="J82" s="2">
        <v>5.74</v>
      </c>
      <c r="K82" s="2">
        <f t="shared" si="2"/>
        <v>7.74</v>
      </c>
      <c r="L82" s="2">
        <f t="shared" si="3"/>
        <v>6.24</v>
      </c>
      <c r="M82">
        <v>8.66</v>
      </c>
      <c r="N82" s="2">
        <v>345419.58799999999</v>
      </c>
      <c r="O82" s="2">
        <v>379277.7</v>
      </c>
      <c r="P82" s="2">
        <v>9506.3140000000003</v>
      </c>
      <c r="Q82" s="2">
        <v>63158.400000000001</v>
      </c>
      <c r="R82" s="2">
        <v>34759.800000000003</v>
      </c>
      <c r="S82" s="2">
        <v>272312.22100000002</v>
      </c>
      <c r="T82" s="2">
        <v>49628.2</v>
      </c>
      <c r="U82" s="2">
        <f>SUM(bs_rates_ovt[[#This Row],[deposits_overnight]:[other_funding]])</f>
        <v>1154062.223</v>
      </c>
    </row>
    <row r="83" spans="1:21">
      <c r="A83" s="1">
        <v>40817</v>
      </c>
      <c r="B83">
        <v>36281.5</v>
      </c>
      <c r="C83">
        <v>385051.05800000002</v>
      </c>
      <c r="D83">
        <v>137285.1</v>
      </c>
      <c r="E83">
        <v>6902.2</v>
      </c>
      <c r="F83">
        <v>69433</v>
      </c>
      <c r="G83" s="3">
        <v>806409.3</v>
      </c>
      <c r="H83">
        <v>1441362.1580000001</v>
      </c>
      <c r="I83" s="2">
        <v>4.9566666666666697</v>
      </c>
      <c r="J83" s="2">
        <v>5.71</v>
      </c>
      <c r="K83" s="2">
        <f t="shared" si="2"/>
        <v>7.71</v>
      </c>
      <c r="L83" s="2">
        <f t="shared" si="3"/>
        <v>6.21</v>
      </c>
      <c r="M83">
        <v>8.6199999999999992</v>
      </c>
      <c r="N83" s="2">
        <v>342559.28600000002</v>
      </c>
      <c r="O83" s="2">
        <v>385316</v>
      </c>
      <c r="P83" s="2">
        <v>11525.968999999999</v>
      </c>
      <c r="Q83" s="2">
        <v>63429.7</v>
      </c>
      <c r="R83" s="2">
        <v>36308.699999999997</v>
      </c>
      <c r="S83" s="2">
        <v>265137.41399999999</v>
      </c>
      <c r="T83" s="2">
        <v>47720</v>
      </c>
      <c r="U83" s="2">
        <f>SUM(bs_rates_ovt[[#This Row],[deposits_overnight]:[other_funding]])</f>
        <v>1151997.0690000001</v>
      </c>
    </row>
    <row r="84" spans="1:21">
      <c r="A84" s="1">
        <v>40848</v>
      </c>
      <c r="B84">
        <v>37110.199999999997</v>
      </c>
      <c r="C84">
        <v>412919.17200000002</v>
      </c>
      <c r="D84">
        <v>141526.70000000001</v>
      </c>
      <c r="E84">
        <v>7273.6</v>
      </c>
      <c r="F84">
        <v>72304.899999999994</v>
      </c>
      <c r="G84" s="3">
        <v>828500.5</v>
      </c>
      <c r="H84">
        <v>1499635.0720000002</v>
      </c>
      <c r="I84" s="2">
        <v>4.9605222222222229</v>
      </c>
      <c r="J84" s="2">
        <v>5.7969999999999997</v>
      </c>
      <c r="K84" s="2">
        <f t="shared" si="2"/>
        <v>7.7969999999999997</v>
      </c>
      <c r="L84" s="2">
        <f t="shared" si="3"/>
        <v>6.2969999999999997</v>
      </c>
      <c r="M84">
        <v>8.73</v>
      </c>
      <c r="N84" s="2">
        <v>353751.245</v>
      </c>
      <c r="O84" s="2">
        <v>392699.2</v>
      </c>
      <c r="P84" s="2">
        <v>8838.1689999999999</v>
      </c>
      <c r="Q84" s="2">
        <v>66786.100000000006</v>
      </c>
      <c r="R84" s="2">
        <v>38596</v>
      </c>
      <c r="S84" s="2">
        <v>275272.53100000002</v>
      </c>
      <c r="T84" s="2">
        <v>50964.5</v>
      </c>
      <c r="U84" s="2">
        <f>SUM(bs_rates_ovt[[#This Row],[deposits_overnight]:[other_funding]])</f>
        <v>1186907.7450000001</v>
      </c>
    </row>
    <row r="85" spans="1:21">
      <c r="A85" s="1">
        <v>40878</v>
      </c>
      <c r="B85">
        <v>34814</v>
      </c>
      <c r="C85">
        <v>405464.11300000001</v>
      </c>
      <c r="D85">
        <v>140940.20000000001</v>
      </c>
      <c r="E85">
        <v>8680.4</v>
      </c>
      <c r="F85">
        <v>76799.199999999997</v>
      </c>
      <c r="G85" s="3">
        <v>821897.9</v>
      </c>
      <c r="H85">
        <v>1488595.8130000001</v>
      </c>
      <c r="I85" s="2">
        <v>4.9643777777777771</v>
      </c>
      <c r="J85" s="2">
        <v>5.84</v>
      </c>
      <c r="K85" s="2">
        <f t="shared" si="2"/>
        <v>7.84</v>
      </c>
      <c r="L85" s="2">
        <f t="shared" si="3"/>
        <v>6.34</v>
      </c>
      <c r="M85">
        <v>8.6900000000000013</v>
      </c>
      <c r="N85" s="2">
        <v>366203.95</v>
      </c>
      <c r="O85" s="2">
        <v>404736.8</v>
      </c>
      <c r="P85" s="2">
        <v>9575.6710000000003</v>
      </c>
      <c r="Q85" s="2">
        <v>45907.3</v>
      </c>
      <c r="R85" s="2">
        <v>38584.199999999997</v>
      </c>
      <c r="S85" s="2">
        <v>265301.79599999997</v>
      </c>
      <c r="T85" s="2">
        <v>47373.599999999999</v>
      </c>
      <c r="U85" s="2">
        <f>SUM(bs_rates_ovt[[#This Row],[deposits_overnight]:[other_funding]])</f>
        <v>1177683.317</v>
      </c>
    </row>
    <row r="86" spans="1:21">
      <c r="A86" s="1">
        <v>40909</v>
      </c>
      <c r="B86">
        <v>34823.199999999997</v>
      </c>
      <c r="C86">
        <v>381075.74400000001</v>
      </c>
      <c r="D86">
        <v>147316.9</v>
      </c>
      <c r="E86">
        <v>14550.8</v>
      </c>
      <c r="F86">
        <v>73893.5</v>
      </c>
      <c r="G86" s="3">
        <v>813512.3</v>
      </c>
      <c r="H86">
        <v>1465172.4440000001</v>
      </c>
      <c r="I86" s="2">
        <v>4.9682333333333304</v>
      </c>
      <c r="J86" s="2">
        <v>5.68</v>
      </c>
      <c r="K86" s="2">
        <f t="shared" si="2"/>
        <v>7.68</v>
      </c>
      <c r="L86" s="2">
        <f t="shared" si="3"/>
        <v>6.18</v>
      </c>
      <c r="M86">
        <v>8.76</v>
      </c>
      <c r="N86" s="2">
        <v>362626.13699999999</v>
      </c>
      <c r="O86" s="2">
        <v>402676.2</v>
      </c>
      <c r="P86" s="2">
        <v>11333.659</v>
      </c>
      <c r="Q86" s="2">
        <v>46833.2</v>
      </c>
      <c r="R86" s="2">
        <v>37588.300000000003</v>
      </c>
      <c r="S86" s="2">
        <v>257742.01300000001</v>
      </c>
      <c r="T86" s="2">
        <v>48992.800000000003</v>
      </c>
      <c r="U86" s="2">
        <f>SUM(bs_rates_ovt[[#This Row],[deposits_overnight]:[other_funding]])</f>
        <v>1167792.3090000001</v>
      </c>
    </row>
    <row r="87" spans="1:21">
      <c r="A87" s="1">
        <v>40940</v>
      </c>
      <c r="B87">
        <v>34369.9</v>
      </c>
      <c r="C87">
        <v>377871.90100000001</v>
      </c>
      <c r="D87">
        <v>147113.60000000001</v>
      </c>
      <c r="E87">
        <v>13401</v>
      </c>
      <c r="F87">
        <v>73150.899999999994</v>
      </c>
      <c r="G87" s="3">
        <v>810134.2</v>
      </c>
      <c r="H87">
        <v>1456041.5010000002</v>
      </c>
      <c r="I87" s="2">
        <v>4.9999333333333302</v>
      </c>
      <c r="J87" s="2">
        <v>5.4557000000000002</v>
      </c>
      <c r="K87" s="2">
        <f t="shared" si="2"/>
        <v>7.4557000000000002</v>
      </c>
      <c r="L87" s="2">
        <f t="shared" si="3"/>
        <v>5.9557000000000002</v>
      </c>
      <c r="M87">
        <v>8.7900000000000009</v>
      </c>
      <c r="N87" s="2">
        <v>357524.64</v>
      </c>
      <c r="O87" s="2">
        <v>413378.1</v>
      </c>
      <c r="P87" s="2">
        <v>4035.038</v>
      </c>
      <c r="Q87" s="2">
        <v>56459.9</v>
      </c>
      <c r="R87" s="2">
        <v>38243.599999999999</v>
      </c>
      <c r="S87" s="2">
        <v>251539.617</v>
      </c>
      <c r="T87" s="2">
        <v>45382.3</v>
      </c>
      <c r="U87" s="2">
        <f>SUM(bs_rates_ovt[[#This Row],[deposits_overnight]:[other_funding]])</f>
        <v>1166563.1950000001</v>
      </c>
    </row>
    <row r="88" spans="1:21">
      <c r="A88" s="1">
        <v>40969</v>
      </c>
      <c r="B88">
        <v>33795.199999999997</v>
      </c>
      <c r="C88">
        <v>366449.94199999998</v>
      </c>
      <c r="D88">
        <v>154435.70000000001</v>
      </c>
      <c r="E88">
        <v>13029.7</v>
      </c>
      <c r="F88">
        <v>72775.100000000006</v>
      </c>
      <c r="G88" s="3">
        <v>817079.6</v>
      </c>
      <c r="H88">
        <v>1457565.2419999999</v>
      </c>
      <c r="I88" s="2">
        <v>5.0316333333333301</v>
      </c>
      <c r="J88" s="2">
        <v>5.37</v>
      </c>
      <c r="K88" s="2">
        <f t="shared" si="2"/>
        <v>7.37</v>
      </c>
      <c r="L88" s="2">
        <f t="shared" si="3"/>
        <v>5.87</v>
      </c>
      <c r="M88">
        <v>8.6900000000000013</v>
      </c>
      <c r="N88" s="2">
        <v>354403.641</v>
      </c>
      <c r="O88" s="2">
        <v>414819.8</v>
      </c>
      <c r="P88" s="2">
        <v>6323.1019999999999</v>
      </c>
      <c r="Q88" s="2">
        <v>56548.2</v>
      </c>
      <c r="R88" s="2">
        <v>39027.300000000003</v>
      </c>
      <c r="S88" s="2">
        <v>247765.01</v>
      </c>
      <c r="T88" s="2">
        <v>45338.3</v>
      </c>
      <c r="U88" s="2">
        <f>SUM(bs_rates_ovt[[#This Row],[deposits_overnight]:[other_funding]])</f>
        <v>1164225.3529999999</v>
      </c>
    </row>
    <row r="89" spans="1:21">
      <c r="A89" s="1">
        <v>41000</v>
      </c>
      <c r="B89">
        <v>33845.9</v>
      </c>
      <c r="C89">
        <v>373893.69900000002</v>
      </c>
      <c r="D89">
        <v>142309.9</v>
      </c>
      <c r="E89">
        <v>13790.9</v>
      </c>
      <c r="F89">
        <v>73342</v>
      </c>
      <c r="G89" s="3">
        <v>824025.4</v>
      </c>
      <c r="H89">
        <v>1461207.7990000001</v>
      </c>
      <c r="I89" s="2">
        <v>5.0633333333333299</v>
      </c>
      <c r="J89" s="2">
        <v>5.4856999999999996</v>
      </c>
      <c r="K89" s="2">
        <f t="shared" si="2"/>
        <v>7.4856999999999996</v>
      </c>
      <c r="L89" s="2">
        <f t="shared" si="3"/>
        <v>5.9856999999999996</v>
      </c>
      <c r="M89">
        <v>8.7200000000000006</v>
      </c>
      <c r="N89" s="2">
        <v>347444.08799999999</v>
      </c>
      <c r="O89" s="2">
        <v>415548.6</v>
      </c>
      <c r="P89" s="2">
        <v>7391.7039999999997</v>
      </c>
      <c r="Q89" s="2">
        <v>49497.5</v>
      </c>
      <c r="R89" s="2">
        <v>39276.9</v>
      </c>
      <c r="S89" s="2">
        <v>255516.21599999999</v>
      </c>
      <c r="T89" s="2">
        <v>46071.7</v>
      </c>
      <c r="U89" s="2">
        <f>SUM(bs_rates_ovt[[#This Row],[deposits_overnight]:[other_funding]])</f>
        <v>1160746.7079999999</v>
      </c>
    </row>
    <row r="90" spans="1:21">
      <c r="A90" s="1">
        <v>41030</v>
      </c>
      <c r="B90">
        <v>35231.199999999997</v>
      </c>
      <c r="C90">
        <v>411218.14899999998</v>
      </c>
      <c r="D90">
        <v>145608.29999999999</v>
      </c>
      <c r="E90">
        <v>14498</v>
      </c>
      <c r="F90">
        <v>74071.3</v>
      </c>
      <c r="G90" s="3">
        <v>839397.1</v>
      </c>
      <c r="H90">
        <v>1520024.0490000001</v>
      </c>
      <c r="I90" s="2">
        <v>5.0499999999999963</v>
      </c>
      <c r="J90" s="2">
        <v>5.41</v>
      </c>
      <c r="K90" s="2">
        <f t="shared" si="2"/>
        <v>7.41</v>
      </c>
      <c r="L90" s="2">
        <f t="shared" si="3"/>
        <v>5.91</v>
      </c>
      <c r="M90">
        <v>8.7099999999999991</v>
      </c>
      <c r="N90" s="2">
        <v>361685.55499999999</v>
      </c>
      <c r="O90" s="2">
        <v>412543.6</v>
      </c>
      <c r="P90" s="2">
        <v>8567.73</v>
      </c>
      <c r="Q90" s="2">
        <v>59137.7</v>
      </c>
      <c r="R90" s="2">
        <v>40572.699999999997</v>
      </c>
      <c r="S90" s="2">
        <v>264473.245</v>
      </c>
      <c r="T90" s="2">
        <v>45735.1</v>
      </c>
      <c r="U90" s="2">
        <f>SUM(bs_rates_ovt[[#This Row],[deposits_overnight]:[other_funding]])</f>
        <v>1192715.6299999999</v>
      </c>
    </row>
    <row r="91" spans="1:21">
      <c r="A91" s="1">
        <v>41061</v>
      </c>
      <c r="B91">
        <v>33461.1</v>
      </c>
      <c r="C91">
        <v>406657.29300000001</v>
      </c>
      <c r="D91">
        <v>143758</v>
      </c>
      <c r="E91">
        <v>12970.9</v>
      </c>
      <c r="F91">
        <v>73945.7</v>
      </c>
      <c r="G91" s="3">
        <v>836375.8</v>
      </c>
      <c r="H91">
        <v>1507168.7930000001</v>
      </c>
      <c r="I91" s="2">
        <v>5.0366666666666635</v>
      </c>
      <c r="J91" s="2">
        <v>5.24</v>
      </c>
      <c r="K91" s="2">
        <f t="shared" si="2"/>
        <v>7.24</v>
      </c>
      <c r="L91" s="2">
        <f t="shared" si="3"/>
        <v>5.74</v>
      </c>
      <c r="M91">
        <v>8.77</v>
      </c>
      <c r="N91" s="2">
        <v>358843.39399999997</v>
      </c>
      <c r="O91" s="2">
        <v>415747.5</v>
      </c>
      <c r="P91" s="2">
        <v>7438.6459999999997</v>
      </c>
      <c r="Q91" s="2">
        <v>72991.199999999997</v>
      </c>
      <c r="R91" s="2">
        <v>42223.1</v>
      </c>
      <c r="S91" s="2">
        <v>254236.318</v>
      </c>
      <c r="T91" s="2">
        <v>47104</v>
      </c>
      <c r="U91" s="2">
        <f>SUM(bs_rates_ovt[[#This Row],[deposits_overnight]:[other_funding]])</f>
        <v>1198584.1579999998</v>
      </c>
    </row>
    <row r="92" spans="1:21">
      <c r="A92" s="1">
        <v>41091</v>
      </c>
      <c r="B92">
        <v>34997.4</v>
      </c>
      <c r="C92">
        <v>403913.554</v>
      </c>
      <c r="D92">
        <v>137073.5</v>
      </c>
      <c r="E92">
        <v>14137.1</v>
      </c>
      <c r="F92">
        <v>76112.600000000006</v>
      </c>
      <c r="G92" s="3">
        <v>828635</v>
      </c>
      <c r="H92">
        <v>1494869.1540000001</v>
      </c>
      <c r="I92" s="2">
        <v>5.0233333333333299</v>
      </c>
      <c r="J92" s="2">
        <v>4.99</v>
      </c>
      <c r="K92" s="2">
        <f t="shared" si="2"/>
        <v>6.99</v>
      </c>
      <c r="L92" s="2">
        <f t="shared" si="3"/>
        <v>5.49</v>
      </c>
      <c r="M92">
        <v>8.73</v>
      </c>
      <c r="N92" s="2">
        <v>361937.31900000002</v>
      </c>
      <c r="O92" s="2">
        <v>413960</v>
      </c>
      <c r="P92" s="2">
        <v>9081.8189999999995</v>
      </c>
      <c r="Q92" s="2">
        <v>65874.5</v>
      </c>
      <c r="R92" s="2">
        <v>42187.4</v>
      </c>
      <c r="S92" s="2">
        <v>245917.054</v>
      </c>
      <c r="T92" s="2">
        <v>47680.6</v>
      </c>
      <c r="U92" s="2">
        <f>SUM(bs_rates_ovt[[#This Row],[deposits_overnight]:[other_funding]])</f>
        <v>1186638.6920000003</v>
      </c>
    </row>
    <row r="93" spans="1:21">
      <c r="A93" s="1">
        <v>41122</v>
      </c>
      <c r="B93">
        <v>33763.1</v>
      </c>
      <c r="C93">
        <v>408283.80699999997</v>
      </c>
      <c r="D93">
        <v>137071.5</v>
      </c>
      <c r="E93">
        <v>14519.1</v>
      </c>
      <c r="F93">
        <v>77559.8</v>
      </c>
      <c r="G93" s="3">
        <v>836820.5</v>
      </c>
      <c r="H93">
        <v>1508017.807</v>
      </c>
      <c r="I93" s="2">
        <v>4.8299999999999965</v>
      </c>
      <c r="J93" s="2">
        <v>4.88</v>
      </c>
      <c r="K93" s="2">
        <f t="shared" si="2"/>
        <v>6.88</v>
      </c>
      <c r="L93" s="2">
        <f t="shared" si="3"/>
        <v>5.38</v>
      </c>
      <c r="M93">
        <v>8.75</v>
      </c>
      <c r="N93" s="2">
        <v>355351.48300000001</v>
      </c>
      <c r="O93" s="2">
        <v>424542.2</v>
      </c>
      <c r="P93" s="2">
        <v>12067.472</v>
      </c>
      <c r="Q93" s="2">
        <v>72053.8</v>
      </c>
      <c r="R93" s="2">
        <v>43756.2</v>
      </c>
      <c r="S93" s="2">
        <v>244450.535</v>
      </c>
      <c r="T93" s="2">
        <v>45525</v>
      </c>
      <c r="U93" s="2">
        <f>SUM(bs_rates_ovt[[#This Row],[deposits_overnight]:[other_funding]])</f>
        <v>1197746.69</v>
      </c>
    </row>
    <row r="94" spans="1:21">
      <c r="A94" s="1">
        <v>41153</v>
      </c>
      <c r="B94">
        <v>35608.300000000003</v>
      </c>
      <c r="C94">
        <v>404200.69900000002</v>
      </c>
      <c r="D94">
        <v>137127.1</v>
      </c>
      <c r="E94">
        <v>14413.6</v>
      </c>
      <c r="F94">
        <v>77516.3</v>
      </c>
      <c r="G94" s="3">
        <v>839046.3</v>
      </c>
      <c r="H94">
        <v>1507912.2990000001</v>
      </c>
      <c r="I94" s="2">
        <v>4.6366666666666632</v>
      </c>
      <c r="J94" s="2">
        <v>4.8499999999999996</v>
      </c>
      <c r="K94" s="2">
        <f t="shared" si="2"/>
        <v>6.85</v>
      </c>
      <c r="L94" s="2">
        <f t="shared" si="3"/>
        <v>5.35</v>
      </c>
      <c r="M94">
        <v>8.7900000000000009</v>
      </c>
      <c r="N94" s="2">
        <v>354159.897</v>
      </c>
      <c r="O94" s="2">
        <v>427337.9</v>
      </c>
      <c r="P94" s="2">
        <v>7735</v>
      </c>
      <c r="Q94" s="2">
        <v>79101.399999999994</v>
      </c>
      <c r="R94" s="2">
        <v>44974</v>
      </c>
      <c r="S94" s="2">
        <v>242956.81899999999</v>
      </c>
      <c r="T94" s="2">
        <v>48063.9</v>
      </c>
      <c r="U94" s="2">
        <f>SUM(bs_rates_ovt[[#This Row],[deposits_overnight]:[other_funding]])</f>
        <v>1204328.916</v>
      </c>
    </row>
    <row r="95" spans="1:21">
      <c r="A95" s="1">
        <v>41183</v>
      </c>
      <c r="B95">
        <v>34962.400000000001</v>
      </c>
      <c r="C95">
        <v>407651.576</v>
      </c>
      <c r="D95">
        <v>132956.6</v>
      </c>
      <c r="E95">
        <v>14821.8</v>
      </c>
      <c r="F95">
        <v>77578.399999999994</v>
      </c>
      <c r="G95" s="3">
        <v>839996.9</v>
      </c>
      <c r="H95">
        <v>1507967.676</v>
      </c>
      <c r="I95" s="2">
        <v>4.4433333333333298</v>
      </c>
      <c r="J95" s="2">
        <v>4.57</v>
      </c>
      <c r="K95" s="2">
        <f t="shared" si="2"/>
        <v>6.57</v>
      </c>
      <c r="L95" s="2">
        <f t="shared" si="3"/>
        <v>5.07</v>
      </c>
      <c r="M95">
        <v>8.76</v>
      </c>
      <c r="N95" s="2">
        <v>350117.26400000002</v>
      </c>
      <c r="O95" s="2">
        <v>436397.7</v>
      </c>
      <c r="P95" s="2">
        <v>13533.17</v>
      </c>
      <c r="Q95" s="2">
        <v>72802.3</v>
      </c>
      <c r="R95" s="2">
        <v>43668.1</v>
      </c>
      <c r="S95" s="2">
        <v>240068.67800000001</v>
      </c>
      <c r="T95" s="2">
        <v>48075.199999999997</v>
      </c>
      <c r="U95" s="2">
        <f>SUM(bs_rates_ovt[[#This Row],[deposits_overnight]:[other_funding]])</f>
        <v>1204662.412</v>
      </c>
    </row>
    <row r="96" spans="1:21">
      <c r="A96" s="1">
        <v>41214</v>
      </c>
      <c r="B96">
        <v>35888.400000000001</v>
      </c>
      <c r="C96">
        <v>415937.08</v>
      </c>
      <c r="D96">
        <v>135537</v>
      </c>
      <c r="E96">
        <v>14082.5</v>
      </c>
      <c r="F96">
        <v>77921.3</v>
      </c>
      <c r="G96" s="3">
        <v>837631.5</v>
      </c>
      <c r="H96">
        <v>1516997.78</v>
      </c>
      <c r="I96" s="2">
        <v>4.1922222222222203</v>
      </c>
      <c r="J96" s="2">
        <v>4.18</v>
      </c>
      <c r="K96" s="2">
        <f t="shared" si="2"/>
        <v>6.18</v>
      </c>
      <c r="L96" s="2">
        <f t="shared" si="3"/>
        <v>4.68</v>
      </c>
      <c r="M96">
        <v>8.68</v>
      </c>
      <c r="N96" s="2">
        <v>355698.47600000002</v>
      </c>
      <c r="O96" s="2">
        <v>434985.8</v>
      </c>
      <c r="P96" s="2">
        <v>11336.305</v>
      </c>
      <c r="Q96" s="2">
        <v>79674.3</v>
      </c>
      <c r="R96" s="2">
        <v>43761.1</v>
      </c>
      <c r="S96" s="2">
        <v>241220.791</v>
      </c>
      <c r="T96" s="2">
        <v>47684.800000000003</v>
      </c>
      <c r="U96" s="2">
        <f>SUM(bs_rates_ovt[[#This Row],[deposits_overnight]:[other_funding]])</f>
        <v>1214361.5720000002</v>
      </c>
    </row>
    <row r="97" spans="1:21">
      <c r="A97" s="1">
        <v>41244</v>
      </c>
      <c r="B97">
        <v>36587.699999999997</v>
      </c>
      <c r="C97">
        <v>409939.08299999998</v>
      </c>
      <c r="D97">
        <v>133430.5</v>
      </c>
      <c r="E97">
        <v>14442.9</v>
      </c>
      <c r="F97">
        <v>79637.399999999994</v>
      </c>
      <c r="G97" s="3">
        <v>834515.6</v>
      </c>
      <c r="H97">
        <v>1508553.1830000002</v>
      </c>
      <c r="I97" s="2">
        <v>3.9411111111111099</v>
      </c>
      <c r="J97" s="2">
        <v>3.88</v>
      </c>
      <c r="K97" s="2">
        <f t="shared" si="2"/>
        <v>5.88</v>
      </c>
      <c r="L97" s="2">
        <f t="shared" si="3"/>
        <v>4.38</v>
      </c>
      <c r="M97">
        <v>8.42</v>
      </c>
      <c r="N97" s="2">
        <v>382342.538</v>
      </c>
      <c r="O97" s="2">
        <v>426367.6</v>
      </c>
      <c r="P97" s="2">
        <v>13047.166999999999</v>
      </c>
      <c r="Q97" s="2">
        <v>52529.3</v>
      </c>
      <c r="R97" s="2">
        <v>43899.4</v>
      </c>
      <c r="S97" s="2">
        <v>240754.454</v>
      </c>
      <c r="T97" s="2">
        <v>51360.5</v>
      </c>
      <c r="U97" s="2">
        <f>SUM(bs_rates_ovt[[#This Row],[deposits_overnight]:[other_funding]])</f>
        <v>1210300.959</v>
      </c>
    </row>
    <row r="98" spans="1:21">
      <c r="A98" s="1">
        <v>41275</v>
      </c>
      <c r="B98">
        <v>36060.1</v>
      </c>
      <c r="C98">
        <v>407200.12599999999</v>
      </c>
      <c r="D98">
        <v>133099.20000000001</v>
      </c>
      <c r="E98">
        <v>14762</v>
      </c>
      <c r="F98">
        <v>79425.8</v>
      </c>
      <c r="G98" s="3">
        <v>843377</v>
      </c>
      <c r="H98">
        <v>1513924.226</v>
      </c>
      <c r="I98" s="2">
        <v>3.69</v>
      </c>
      <c r="J98" s="2">
        <v>3.91</v>
      </c>
      <c r="K98" s="2">
        <f t="shared" si="2"/>
        <v>5.91</v>
      </c>
      <c r="L98" s="2">
        <f t="shared" si="3"/>
        <v>4.41</v>
      </c>
      <c r="M98">
        <v>8.23</v>
      </c>
      <c r="N98" s="2">
        <v>375776.71399999998</v>
      </c>
      <c r="O98" s="2">
        <v>429873</v>
      </c>
      <c r="P98" s="2">
        <v>9973.2659999999996</v>
      </c>
      <c r="Q98" s="2">
        <v>66143.7</v>
      </c>
      <c r="R98" s="2">
        <v>44122</v>
      </c>
      <c r="S98" s="2">
        <v>235491.11600000001</v>
      </c>
      <c r="T98" s="2">
        <v>50285.599999999999</v>
      </c>
      <c r="U98" s="2">
        <f>SUM(bs_rates_ovt[[#This Row],[deposits_overnight]:[other_funding]])</f>
        <v>1211665.3959999999</v>
      </c>
    </row>
    <row r="99" spans="1:21">
      <c r="A99" s="1">
        <v>41306</v>
      </c>
      <c r="B99">
        <v>34672.800000000003</v>
      </c>
      <c r="C99">
        <v>404340.14600000001</v>
      </c>
      <c r="D99">
        <v>140391.1</v>
      </c>
      <c r="E99">
        <v>14174</v>
      </c>
      <c r="F99">
        <v>78843.899999999994</v>
      </c>
      <c r="G99" s="3">
        <v>840531.9</v>
      </c>
      <c r="H99">
        <v>1512953.8459999999</v>
      </c>
      <c r="I99" s="2">
        <v>3.41</v>
      </c>
      <c r="J99" s="2">
        <v>3.99</v>
      </c>
      <c r="K99" s="2">
        <f t="shared" si="2"/>
        <v>5.99</v>
      </c>
      <c r="L99" s="2">
        <f t="shared" si="3"/>
        <v>4.49</v>
      </c>
      <c r="M99">
        <v>8.1100000000000012</v>
      </c>
      <c r="N99" s="2">
        <v>382059.56300000002</v>
      </c>
      <c r="O99" s="2">
        <v>431264.2</v>
      </c>
      <c r="P99" s="2">
        <v>8723.7459999999992</v>
      </c>
      <c r="Q99" s="2">
        <v>51334.2</v>
      </c>
      <c r="R99" s="2">
        <v>44424</v>
      </c>
      <c r="S99" s="2">
        <v>240531.19</v>
      </c>
      <c r="T99" s="2">
        <v>50356.9</v>
      </c>
      <c r="U99" s="2">
        <f>SUM(bs_rates_ovt[[#This Row],[deposits_overnight]:[other_funding]])</f>
        <v>1208693.7989999999</v>
      </c>
    </row>
    <row r="100" spans="1:21">
      <c r="A100" s="1">
        <v>41334</v>
      </c>
      <c r="B100">
        <v>36652.800000000003</v>
      </c>
      <c r="C100">
        <v>420932.97899999999</v>
      </c>
      <c r="D100">
        <v>148994.1</v>
      </c>
      <c r="E100">
        <v>13413.7</v>
      </c>
      <c r="F100">
        <v>78469.100000000006</v>
      </c>
      <c r="G100" s="3">
        <v>845926.1</v>
      </c>
      <c r="H100">
        <v>1544388.7789999999</v>
      </c>
      <c r="I100" s="2">
        <v>3.13</v>
      </c>
      <c r="J100" s="2">
        <v>3.93</v>
      </c>
      <c r="K100" s="2">
        <f t="shared" si="2"/>
        <v>5.93</v>
      </c>
      <c r="L100" s="2">
        <f t="shared" si="3"/>
        <v>4.43</v>
      </c>
      <c r="M100">
        <v>7.7700000000000005</v>
      </c>
      <c r="N100" s="2">
        <v>381632.43699999998</v>
      </c>
      <c r="O100" s="2">
        <v>439978.2</v>
      </c>
      <c r="P100" s="2">
        <v>9528.2759999999998</v>
      </c>
      <c r="Q100" s="2">
        <v>52151.6</v>
      </c>
      <c r="R100" s="2">
        <v>43789.4</v>
      </c>
      <c r="S100" s="2">
        <v>248419.67199999999</v>
      </c>
      <c r="T100" s="2">
        <v>51152.5</v>
      </c>
      <c r="U100" s="2">
        <f>SUM(bs_rates_ovt[[#This Row],[deposits_overnight]:[other_funding]])</f>
        <v>1226652.085</v>
      </c>
    </row>
    <row r="101" spans="1:21">
      <c r="A101" s="1">
        <v>41365</v>
      </c>
      <c r="B101">
        <v>39005.5</v>
      </c>
      <c r="C101">
        <v>410217.685</v>
      </c>
      <c r="D101">
        <v>147766.9</v>
      </c>
      <c r="E101">
        <v>13288.2</v>
      </c>
      <c r="F101">
        <v>77833.8</v>
      </c>
      <c r="G101" s="3">
        <v>844172.7</v>
      </c>
      <c r="H101">
        <v>1532284.7849999999</v>
      </c>
      <c r="I101" s="2">
        <v>2.85</v>
      </c>
      <c r="J101" s="2">
        <v>3.4994999999999998</v>
      </c>
      <c r="K101" s="2">
        <f t="shared" si="2"/>
        <v>5.4994999999999994</v>
      </c>
      <c r="L101" s="2">
        <f t="shared" si="3"/>
        <v>3.9994999999999998</v>
      </c>
      <c r="M101">
        <v>7.5600000000000005</v>
      </c>
      <c r="N101" s="2">
        <v>386253.70199999999</v>
      </c>
      <c r="O101" s="2">
        <v>433852.6</v>
      </c>
      <c r="P101" s="2">
        <v>12569.268</v>
      </c>
      <c r="Q101" s="2">
        <v>42679.8</v>
      </c>
      <c r="R101" s="2">
        <v>44455.9</v>
      </c>
      <c r="S101" s="2">
        <v>248337.389</v>
      </c>
      <c r="T101" s="2">
        <v>50383.7</v>
      </c>
      <c r="U101" s="2">
        <f>SUM(bs_rates_ovt[[#This Row],[deposits_overnight]:[other_funding]])</f>
        <v>1218532.3589999999</v>
      </c>
    </row>
    <row r="102" spans="1:21">
      <c r="A102" s="1">
        <v>41395</v>
      </c>
      <c r="B102">
        <v>38411.800000000003</v>
      </c>
      <c r="C102">
        <v>429890.35499999998</v>
      </c>
      <c r="D102">
        <v>153802</v>
      </c>
      <c r="E102">
        <v>13690.3</v>
      </c>
      <c r="F102">
        <v>77905.100000000006</v>
      </c>
      <c r="G102" s="3">
        <v>852185.3</v>
      </c>
      <c r="H102">
        <v>1565884.855</v>
      </c>
      <c r="I102" s="2">
        <v>2.7966666666666669</v>
      </c>
      <c r="J102" s="2">
        <v>3.28</v>
      </c>
      <c r="K102" s="2">
        <f t="shared" si="2"/>
        <v>5.2799999999999994</v>
      </c>
      <c r="L102" s="2">
        <f t="shared" si="3"/>
        <v>3.78</v>
      </c>
      <c r="M102">
        <v>7.35</v>
      </c>
      <c r="N102" s="2">
        <v>398987.223</v>
      </c>
      <c r="O102" s="2">
        <v>425752.6</v>
      </c>
      <c r="P102" s="2">
        <v>13797.031000000001</v>
      </c>
      <c r="Q102" s="2">
        <v>60618.1</v>
      </c>
      <c r="R102" s="2">
        <v>45335</v>
      </c>
      <c r="S102" s="2">
        <v>253612.18599999999</v>
      </c>
      <c r="T102" s="2">
        <v>46045.1</v>
      </c>
      <c r="U102" s="2">
        <f>SUM(bs_rates_ovt[[#This Row],[deposits_overnight]:[other_funding]])</f>
        <v>1244147.24</v>
      </c>
    </row>
    <row r="103" spans="1:21">
      <c r="A103" s="1">
        <v>41426</v>
      </c>
      <c r="B103">
        <v>37818.199999999997</v>
      </c>
      <c r="C103">
        <v>421936.97499999998</v>
      </c>
      <c r="D103">
        <v>160299.79999999999</v>
      </c>
      <c r="E103">
        <v>14363.1</v>
      </c>
      <c r="F103">
        <v>78180.899999999994</v>
      </c>
      <c r="G103" s="3">
        <v>865300.2</v>
      </c>
      <c r="H103">
        <v>1577899.1749999998</v>
      </c>
      <c r="I103" s="2">
        <v>2.7433333333333332</v>
      </c>
      <c r="J103" s="2">
        <v>3.95</v>
      </c>
      <c r="K103" s="2">
        <f t="shared" si="2"/>
        <v>5.95</v>
      </c>
      <c r="L103" s="2">
        <f t="shared" si="3"/>
        <v>4.45</v>
      </c>
      <c r="M103">
        <v>7.06</v>
      </c>
      <c r="N103" s="2">
        <v>410967.93400000001</v>
      </c>
      <c r="O103" s="2">
        <v>418264.2</v>
      </c>
      <c r="P103" s="2">
        <v>12575.955</v>
      </c>
      <c r="Q103" s="2">
        <v>67206.2</v>
      </c>
      <c r="R103" s="2">
        <v>44567.1</v>
      </c>
      <c r="S103" s="2">
        <v>261669.71400000001</v>
      </c>
      <c r="T103" s="2">
        <v>53681</v>
      </c>
      <c r="U103" s="2">
        <f>SUM(bs_rates_ovt[[#This Row],[deposits_overnight]:[other_funding]])</f>
        <v>1268932.1029999999</v>
      </c>
    </row>
    <row r="104" spans="1:21">
      <c r="A104" s="1">
        <v>41456</v>
      </c>
      <c r="B104">
        <v>36984.300000000003</v>
      </c>
      <c r="C104">
        <v>411570.99200000003</v>
      </c>
      <c r="D104">
        <v>157906.1</v>
      </c>
      <c r="E104">
        <v>13828.5</v>
      </c>
      <c r="F104">
        <v>78049.8</v>
      </c>
      <c r="G104" s="3">
        <v>861153.6</v>
      </c>
      <c r="H104">
        <v>1559493.2919999999</v>
      </c>
      <c r="I104" s="2">
        <v>2.69</v>
      </c>
      <c r="J104" s="2">
        <v>3.97</v>
      </c>
      <c r="K104" s="2">
        <f t="shared" si="2"/>
        <v>5.9700000000000006</v>
      </c>
      <c r="L104" s="2">
        <f t="shared" si="3"/>
        <v>4.4700000000000006</v>
      </c>
      <c r="M104">
        <v>6.7299999999999995</v>
      </c>
      <c r="N104" s="2">
        <v>418100.86</v>
      </c>
      <c r="O104" s="2">
        <v>405903.2</v>
      </c>
      <c r="P104" s="2">
        <v>16910.949000000001</v>
      </c>
      <c r="Q104" s="2">
        <v>68516.3</v>
      </c>
      <c r="R104" s="2">
        <v>44734.3</v>
      </c>
      <c r="S104" s="2">
        <v>251776.78599999999</v>
      </c>
      <c r="T104" s="2">
        <v>48838</v>
      </c>
      <c r="U104" s="2">
        <f>SUM(bs_rates_ovt[[#This Row],[deposits_overnight]:[other_funding]])</f>
        <v>1254780.3950000003</v>
      </c>
    </row>
    <row r="105" spans="1:21">
      <c r="A105" s="1">
        <v>41487</v>
      </c>
      <c r="B105">
        <v>38313.199999999997</v>
      </c>
      <c r="C105">
        <v>410234.18699999998</v>
      </c>
      <c r="D105">
        <v>163160.29999999999</v>
      </c>
      <c r="E105">
        <v>13998.3</v>
      </c>
      <c r="F105">
        <v>78213.7</v>
      </c>
      <c r="G105" s="3">
        <v>866359.1</v>
      </c>
      <c r="H105">
        <v>1570278.787</v>
      </c>
      <c r="I105" s="2">
        <v>2.6844444444444431</v>
      </c>
      <c r="J105" s="2">
        <v>4.3033333330000003</v>
      </c>
      <c r="K105" s="2">
        <f t="shared" si="2"/>
        <v>6.3033333330000003</v>
      </c>
      <c r="L105" s="2">
        <f t="shared" si="3"/>
        <v>4.8033333330000003</v>
      </c>
      <c r="M105">
        <v>6.59</v>
      </c>
      <c r="N105" s="2">
        <v>417040.99599999998</v>
      </c>
      <c r="O105" s="2">
        <v>412409.5</v>
      </c>
      <c r="P105" s="2">
        <v>16406.888999999999</v>
      </c>
      <c r="Q105" s="2">
        <v>67217.3</v>
      </c>
      <c r="R105" s="2">
        <v>43577.8</v>
      </c>
      <c r="S105" s="2">
        <v>256198.74100000001</v>
      </c>
      <c r="T105" s="2">
        <v>47716.4</v>
      </c>
      <c r="U105" s="2">
        <f>SUM(bs_rates_ovt[[#This Row],[deposits_overnight]:[other_funding]])</f>
        <v>1260567.6259999999</v>
      </c>
    </row>
    <row r="106" spans="1:21">
      <c r="A106" s="1">
        <v>41518</v>
      </c>
      <c r="B106">
        <v>37283</v>
      </c>
      <c r="C106">
        <v>406501.12199999997</v>
      </c>
      <c r="D106">
        <v>160795.5</v>
      </c>
      <c r="E106">
        <v>14114.5</v>
      </c>
      <c r="F106">
        <v>77695.399999999994</v>
      </c>
      <c r="G106" s="3">
        <v>872934.8</v>
      </c>
      <c r="H106">
        <v>1569324.3220000002</v>
      </c>
      <c r="I106" s="2">
        <v>2.6788888888888867</v>
      </c>
      <c r="J106" s="2">
        <v>4.49</v>
      </c>
      <c r="K106" s="2">
        <f t="shared" si="2"/>
        <v>6.49</v>
      </c>
      <c r="L106" s="2">
        <f t="shared" si="3"/>
        <v>4.99</v>
      </c>
      <c r="M106">
        <v>6.61</v>
      </c>
      <c r="N106" s="2">
        <v>427650.592</v>
      </c>
      <c r="O106" s="2">
        <v>405705.9</v>
      </c>
      <c r="P106" s="2">
        <v>11159.986999999999</v>
      </c>
      <c r="Q106" s="2">
        <v>69204.399999999994</v>
      </c>
      <c r="R106" s="2">
        <v>43310.1</v>
      </c>
      <c r="S106" s="2">
        <v>258522.75099999999</v>
      </c>
      <c r="T106" s="2">
        <v>50252.3</v>
      </c>
      <c r="U106" s="2">
        <f>SUM(bs_rates_ovt[[#This Row],[deposits_overnight]:[other_funding]])</f>
        <v>1265806.03</v>
      </c>
    </row>
    <row r="107" spans="1:21">
      <c r="A107" s="1">
        <v>41548</v>
      </c>
      <c r="B107">
        <v>38503.1</v>
      </c>
      <c r="C107">
        <v>397666.408</v>
      </c>
      <c r="D107">
        <v>159684</v>
      </c>
      <c r="E107">
        <v>14448.5</v>
      </c>
      <c r="F107">
        <v>78724.3</v>
      </c>
      <c r="G107" s="3">
        <v>866204.6</v>
      </c>
      <c r="H107">
        <v>1555230.9079999998</v>
      </c>
      <c r="I107" s="2">
        <v>2.6733333333333298</v>
      </c>
      <c r="J107" s="2">
        <v>4.28</v>
      </c>
      <c r="K107" s="2">
        <f t="shared" si="2"/>
        <v>6.28</v>
      </c>
      <c r="L107" s="2">
        <f t="shared" si="3"/>
        <v>4.78</v>
      </c>
      <c r="M107">
        <v>6.5500000000000007</v>
      </c>
      <c r="N107" s="2">
        <v>423062.37199999997</v>
      </c>
      <c r="O107" s="2">
        <v>414943.3</v>
      </c>
      <c r="P107" s="2">
        <v>15560.733</v>
      </c>
      <c r="Q107" s="2">
        <v>62277.7</v>
      </c>
      <c r="R107" s="2">
        <v>44487.5</v>
      </c>
      <c r="S107" s="2">
        <v>247149.133</v>
      </c>
      <c r="T107" s="2">
        <v>45852.9</v>
      </c>
      <c r="U107" s="2">
        <f>SUM(bs_rates_ovt[[#This Row],[deposits_overnight]:[other_funding]])</f>
        <v>1253333.6379999998</v>
      </c>
    </row>
    <row r="108" spans="1:21">
      <c r="A108" s="1">
        <v>41579</v>
      </c>
      <c r="B108">
        <v>38871.9</v>
      </c>
      <c r="C108">
        <v>402645.337</v>
      </c>
      <c r="D108">
        <v>162661.9</v>
      </c>
      <c r="E108">
        <v>15008.4</v>
      </c>
      <c r="F108">
        <v>78858.5</v>
      </c>
      <c r="G108" s="3">
        <v>871525.3</v>
      </c>
      <c r="H108">
        <v>1569571.3370000001</v>
      </c>
      <c r="I108" s="2">
        <v>2.685555555555553</v>
      </c>
      <c r="J108" s="2">
        <v>4.38</v>
      </c>
      <c r="K108" s="2">
        <f t="shared" si="2"/>
        <v>6.38</v>
      </c>
      <c r="L108" s="2">
        <f t="shared" si="3"/>
        <v>4.88</v>
      </c>
      <c r="M108">
        <v>6.5600000000000005</v>
      </c>
      <c r="N108" s="2">
        <v>425118.39399999997</v>
      </c>
      <c r="O108" s="2">
        <v>412471.7</v>
      </c>
      <c r="P108" s="2">
        <v>14501.64</v>
      </c>
      <c r="Q108" s="2">
        <v>68763.199999999997</v>
      </c>
      <c r="R108" s="2">
        <v>44429.2</v>
      </c>
      <c r="S108" s="2">
        <v>253943.658</v>
      </c>
      <c r="T108" s="2">
        <v>46911.3</v>
      </c>
      <c r="U108" s="2">
        <f>SUM(bs_rates_ovt[[#This Row],[deposits_overnight]:[other_funding]])</f>
        <v>1266139.0919999999</v>
      </c>
    </row>
    <row r="109" spans="1:21">
      <c r="A109" s="1">
        <v>41609</v>
      </c>
      <c r="B109">
        <v>32876.400000000001</v>
      </c>
      <c r="C109">
        <v>388095.98700000002</v>
      </c>
      <c r="D109">
        <v>155697.70000000001</v>
      </c>
      <c r="E109">
        <v>16302.6</v>
      </c>
      <c r="F109">
        <v>78478.8</v>
      </c>
      <c r="G109" s="3">
        <v>869727.4</v>
      </c>
      <c r="H109">
        <v>1541178.8870000001</v>
      </c>
      <c r="I109" s="2">
        <v>2.6977777777777767</v>
      </c>
      <c r="J109" s="2">
        <v>4.4166666670000003</v>
      </c>
      <c r="K109" s="2">
        <f t="shared" si="2"/>
        <v>6.4166666670000003</v>
      </c>
      <c r="L109" s="2">
        <f t="shared" si="3"/>
        <v>4.9166666670000003</v>
      </c>
      <c r="M109">
        <v>6.49</v>
      </c>
      <c r="N109" s="2">
        <v>441432.08600000001</v>
      </c>
      <c r="O109" s="2">
        <v>421663.2</v>
      </c>
      <c r="P109" s="2">
        <v>12277.544</v>
      </c>
      <c r="Q109" s="2">
        <v>37455.9</v>
      </c>
      <c r="R109" s="2">
        <v>47160.3</v>
      </c>
      <c r="S109" s="2">
        <v>245101.46299999999</v>
      </c>
      <c r="T109" s="2">
        <v>44829.3</v>
      </c>
      <c r="U109" s="2">
        <f>SUM(bs_rates_ovt[[#This Row],[deposits_overnight]:[other_funding]])</f>
        <v>1249919.7930000003</v>
      </c>
    </row>
    <row r="110" spans="1:21">
      <c r="A110" s="1">
        <v>41640</v>
      </c>
      <c r="B110">
        <v>33911.800000000003</v>
      </c>
      <c r="C110">
        <v>397098.13799999998</v>
      </c>
      <c r="D110">
        <v>162861.9</v>
      </c>
      <c r="E110">
        <v>16771.8</v>
      </c>
      <c r="F110">
        <v>78920.800000000003</v>
      </c>
      <c r="G110" s="3">
        <v>879798.7</v>
      </c>
      <c r="H110">
        <v>1569363.138</v>
      </c>
      <c r="I110" s="2">
        <v>2.71</v>
      </c>
      <c r="J110" s="2">
        <v>4.42</v>
      </c>
      <c r="K110" s="2">
        <f t="shared" si="2"/>
        <v>6.42</v>
      </c>
      <c r="L110" s="2">
        <f t="shared" si="3"/>
        <v>4.92</v>
      </c>
      <c r="M110">
        <v>6.4600000000000009</v>
      </c>
      <c r="N110" s="2">
        <v>433032.51299999998</v>
      </c>
      <c r="O110" s="2">
        <v>418261.1</v>
      </c>
      <c r="P110" s="2">
        <v>9795.6190000000006</v>
      </c>
      <c r="Q110" s="2">
        <v>57661.5</v>
      </c>
      <c r="R110" s="2">
        <v>46507.5</v>
      </c>
      <c r="S110" s="2">
        <v>256481.35699999999</v>
      </c>
      <c r="T110" s="2">
        <v>45467.199999999997</v>
      </c>
      <c r="U110" s="2">
        <f>SUM(bs_rates_ovt[[#This Row],[deposits_overnight]:[other_funding]])</f>
        <v>1267206.7889999999</v>
      </c>
    </row>
    <row r="111" spans="1:21">
      <c r="A111" s="1">
        <v>41671</v>
      </c>
      <c r="B111">
        <v>34224.5</v>
      </c>
      <c r="C111">
        <v>381917.97200000001</v>
      </c>
      <c r="D111">
        <v>166575.29999999999</v>
      </c>
      <c r="E111">
        <v>16958.400000000001</v>
      </c>
      <c r="F111">
        <v>78452.899999999994</v>
      </c>
      <c r="G111" s="3">
        <v>879853.3</v>
      </c>
      <c r="H111">
        <v>1557982.372</v>
      </c>
      <c r="I111" s="2">
        <v>2.70888888888889</v>
      </c>
      <c r="J111" s="2">
        <v>4.47</v>
      </c>
      <c r="K111" s="2">
        <f t="shared" si="2"/>
        <v>6.47</v>
      </c>
      <c r="L111" s="2">
        <f t="shared" si="3"/>
        <v>4.97</v>
      </c>
      <c r="M111">
        <v>6.52</v>
      </c>
      <c r="N111" s="2">
        <v>433353.098</v>
      </c>
      <c r="O111" s="2">
        <v>423297.9</v>
      </c>
      <c r="P111" s="2">
        <v>9132.2350000000006</v>
      </c>
      <c r="Q111" s="2">
        <v>55022.2</v>
      </c>
      <c r="R111" s="2">
        <v>47047</v>
      </c>
      <c r="S111" s="2">
        <v>246158.61499999999</v>
      </c>
      <c r="T111" s="2">
        <v>43205.599999999999</v>
      </c>
      <c r="U111" s="2">
        <f>SUM(bs_rates_ovt[[#This Row],[deposits_overnight]:[other_funding]])</f>
        <v>1257216.648</v>
      </c>
    </row>
    <row r="112" spans="1:21">
      <c r="A112" s="1">
        <v>41699</v>
      </c>
      <c r="B112">
        <v>34921.4</v>
      </c>
      <c r="C112">
        <v>376387.62900000002</v>
      </c>
      <c r="D112">
        <v>173457.2</v>
      </c>
      <c r="E112">
        <v>16750.2</v>
      </c>
      <c r="F112">
        <v>78048.2</v>
      </c>
      <c r="G112" s="3">
        <v>889918.8</v>
      </c>
      <c r="H112">
        <v>1569483.429</v>
      </c>
      <c r="I112" s="2">
        <v>2.7077777777777801</v>
      </c>
      <c r="J112" s="2">
        <v>4.25</v>
      </c>
      <c r="K112" s="2">
        <f t="shared" si="2"/>
        <v>6.25</v>
      </c>
      <c r="L112" s="2">
        <f t="shared" si="3"/>
        <v>4.75</v>
      </c>
      <c r="M112">
        <v>6.4</v>
      </c>
      <c r="N112" s="2">
        <v>442296.91700000002</v>
      </c>
      <c r="O112" s="2">
        <v>422992.1</v>
      </c>
      <c r="P112" s="2">
        <v>9959.1720000000005</v>
      </c>
      <c r="Q112" s="2">
        <v>51727.8</v>
      </c>
      <c r="R112" s="2">
        <v>48383.9</v>
      </c>
      <c r="S112" s="2">
        <v>243538.68400000001</v>
      </c>
      <c r="T112" s="2">
        <v>47550.400000000001</v>
      </c>
      <c r="U112" s="2">
        <f>SUM(bs_rates_ovt[[#This Row],[deposits_overnight]:[other_funding]])</f>
        <v>1266448.973</v>
      </c>
    </row>
    <row r="113" spans="1:21">
      <c r="A113" s="1">
        <v>41730</v>
      </c>
      <c r="B113">
        <v>34498.5</v>
      </c>
      <c r="C113">
        <v>375830.66600000003</v>
      </c>
      <c r="D113">
        <v>179916</v>
      </c>
      <c r="E113">
        <v>17120.2</v>
      </c>
      <c r="F113">
        <v>77672.5</v>
      </c>
      <c r="G113" s="3">
        <v>894797.7</v>
      </c>
      <c r="H113">
        <v>1579835.5659999999</v>
      </c>
      <c r="I113" s="2">
        <v>2.7066666666666701</v>
      </c>
      <c r="J113" s="2">
        <v>4.0999999999999996</v>
      </c>
      <c r="K113" s="2">
        <f t="shared" si="2"/>
        <v>6.1</v>
      </c>
      <c r="L113" s="2">
        <f t="shared" si="3"/>
        <v>4.5999999999999996</v>
      </c>
      <c r="M113">
        <v>6.419999999999999</v>
      </c>
      <c r="N113" s="2">
        <v>429132.80599999998</v>
      </c>
      <c r="O113" s="2">
        <v>439138.8</v>
      </c>
      <c r="P113" s="2">
        <v>10207.143</v>
      </c>
      <c r="Q113" s="2">
        <v>50339.6</v>
      </c>
      <c r="R113" s="2">
        <v>48893.599999999999</v>
      </c>
      <c r="S113" s="2">
        <v>248887.67</v>
      </c>
      <c r="T113" s="2">
        <v>47001.9</v>
      </c>
      <c r="U113" s="2">
        <f>SUM(bs_rates_ovt[[#This Row],[deposits_overnight]:[other_funding]])</f>
        <v>1273601.5189999999</v>
      </c>
    </row>
    <row r="114" spans="1:21">
      <c r="A114" s="1">
        <v>41760</v>
      </c>
      <c r="B114">
        <v>35706.1</v>
      </c>
      <c r="C114">
        <v>393198.603</v>
      </c>
      <c r="D114">
        <v>180573.7</v>
      </c>
      <c r="E114">
        <v>17184.900000000001</v>
      </c>
      <c r="F114">
        <v>77350.3</v>
      </c>
      <c r="G114" s="3">
        <v>897139</v>
      </c>
      <c r="H114">
        <v>1601152.6030000001</v>
      </c>
      <c r="I114" s="2">
        <v>2.6422222222222236</v>
      </c>
      <c r="J114" s="2">
        <v>3.8004761899999999</v>
      </c>
      <c r="K114" s="2">
        <f t="shared" si="2"/>
        <v>5.8004761899999995</v>
      </c>
      <c r="L114" s="2">
        <f t="shared" si="3"/>
        <v>4.3004761899999995</v>
      </c>
      <c r="M114">
        <v>6.39</v>
      </c>
      <c r="N114" s="2">
        <v>438002.429</v>
      </c>
      <c r="O114" s="2">
        <v>435388.2</v>
      </c>
      <c r="P114" s="2">
        <v>9762.4079999999994</v>
      </c>
      <c r="Q114" s="2">
        <v>65039.9</v>
      </c>
      <c r="R114" s="2">
        <v>49554.7</v>
      </c>
      <c r="S114" s="2">
        <v>250938.891</v>
      </c>
      <c r="T114" s="2">
        <v>46235</v>
      </c>
      <c r="U114" s="2">
        <f>SUM(bs_rates_ovt[[#This Row],[deposits_overnight]:[other_funding]])</f>
        <v>1294921.5279999999</v>
      </c>
    </row>
    <row r="115" spans="1:21">
      <c r="A115" s="1">
        <v>41791</v>
      </c>
      <c r="B115">
        <v>36620.199999999997</v>
      </c>
      <c r="C115">
        <v>389928.158</v>
      </c>
      <c r="D115">
        <v>179553</v>
      </c>
      <c r="E115">
        <v>17437.2</v>
      </c>
      <c r="F115">
        <v>77954.899999999994</v>
      </c>
      <c r="G115" s="3">
        <v>907104</v>
      </c>
      <c r="H115">
        <v>1608597.4580000001</v>
      </c>
      <c r="I115" s="2">
        <v>2.5777777777777766</v>
      </c>
      <c r="J115" s="2">
        <v>3.54</v>
      </c>
      <c r="K115" s="2">
        <f t="shared" si="2"/>
        <v>5.54</v>
      </c>
      <c r="L115" s="2">
        <f t="shared" si="3"/>
        <v>4.04</v>
      </c>
      <c r="M115">
        <v>6.45</v>
      </c>
      <c r="N115" s="2">
        <v>451548.29399999999</v>
      </c>
      <c r="O115" s="2">
        <v>426352.5</v>
      </c>
      <c r="P115" s="2">
        <v>8978.5650000000005</v>
      </c>
      <c r="Q115" s="2">
        <v>64472.4</v>
      </c>
      <c r="R115" s="2">
        <v>50616.5</v>
      </c>
      <c r="S115" s="2">
        <v>245895.027</v>
      </c>
      <c r="T115" s="2">
        <v>53669.5</v>
      </c>
      <c r="U115" s="2">
        <f>SUM(bs_rates_ovt[[#This Row],[deposits_overnight]:[other_funding]])</f>
        <v>1301532.7859999998</v>
      </c>
    </row>
    <row r="116" spans="1:21">
      <c r="A116" s="1">
        <v>41821</v>
      </c>
      <c r="B116">
        <v>35866.699999999997</v>
      </c>
      <c r="C116">
        <v>399663.93800000002</v>
      </c>
      <c r="D116">
        <v>180282.9</v>
      </c>
      <c r="E116">
        <v>18180.8</v>
      </c>
      <c r="F116">
        <v>78511.899999999994</v>
      </c>
      <c r="G116" s="3">
        <v>905882.9</v>
      </c>
      <c r="H116">
        <v>1618389.1380000003</v>
      </c>
      <c r="I116" s="2">
        <v>2.5133333333333301</v>
      </c>
      <c r="J116" s="2">
        <v>3.34</v>
      </c>
      <c r="K116" s="2">
        <f t="shared" si="2"/>
        <v>5.34</v>
      </c>
      <c r="L116" s="2">
        <f t="shared" si="3"/>
        <v>3.84</v>
      </c>
      <c r="M116">
        <v>6.419999999999999</v>
      </c>
      <c r="N116" s="2">
        <v>448297.72100000002</v>
      </c>
      <c r="O116" s="2">
        <v>434257.9</v>
      </c>
      <c r="P116" s="2">
        <v>10262.008</v>
      </c>
      <c r="Q116" s="2">
        <v>67450.5</v>
      </c>
      <c r="R116" s="2">
        <v>50404.6</v>
      </c>
      <c r="S116" s="2">
        <v>246800.22099999999</v>
      </c>
      <c r="T116" s="2">
        <v>48617.3</v>
      </c>
      <c r="U116" s="2">
        <f>SUM(bs_rates_ovt[[#This Row],[deposits_overnight]:[other_funding]])</f>
        <v>1306090.25</v>
      </c>
    </row>
    <row r="117" spans="1:21">
      <c r="A117" s="1">
        <v>41852</v>
      </c>
      <c r="B117">
        <v>38201</v>
      </c>
      <c r="C117">
        <v>416075.50400000002</v>
      </c>
      <c r="D117">
        <v>187354.4</v>
      </c>
      <c r="E117">
        <v>20756</v>
      </c>
      <c r="F117">
        <v>79343</v>
      </c>
      <c r="G117" s="3">
        <v>916764.2</v>
      </c>
      <c r="H117">
        <v>1658494.1039999998</v>
      </c>
      <c r="I117" s="2">
        <v>2.35111111111111</v>
      </c>
      <c r="J117" s="2">
        <v>3.36</v>
      </c>
      <c r="K117" s="2">
        <f t="shared" si="2"/>
        <v>5.3599999999999994</v>
      </c>
      <c r="L117" s="2">
        <f t="shared" si="3"/>
        <v>3.86</v>
      </c>
      <c r="M117">
        <v>6.419999999999999</v>
      </c>
      <c r="N117" s="2">
        <v>449543.76799999998</v>
      </c>
      <c r="O117" s="2">
        <v>448039</v>
      </c>
      <c r="P117" s="2">
        <v>11278.991</v>
      </c>
      <c r="Q117" s="2">
        <v>66274.2</v>
      </c>
      <c r="R117" s="2">
        <v>50680.7</v>
      </c>
      <c r="S117" s="2">
        <v>253946.66399999999</v>
      </c>
      <c r="T117" s="2">
        <v>52308.800000000003</v>
      </c>
      <c r="U117" s="2">
        <f>SUM(bs_rates_ovt[[#This Row],[deposits_overnight]:[other_funding]])</f>
        <v>1332072.1229999999</v>
      </c>
    </row>
    <row r="118" spans="1:21">
      <c r="A118" s="1">
        <v>41883</v>
      </c>
      <c r="B118">
        <v>39534.1</v>
      </c>
      <c r="C118">
        <v>420199.12900000002</v>
      </c>
      <c r="D118">
        <v>193114.9</v>
      </c>
      <c r="E118">
        <v>22407.5</v>
      </c>
      <c r="F118">
        <v>81532.399999999994</v>
      </c>
      <c r="G118" s="3">
        <v>920906</v>
      </c>
      <c r="H118">
        <v>1677694.0290000001</v>
      </c>
      <c r="I118" s="2">
        <v>2.18888888888889</v>
      </c>
      <c r="J118" s="2">
        <v>3.1009000000000002</v>
      </c>
      <c r="K118" s="2">
        <f t="shared" si="2"/>
        <v>5.1009000000000002</v>
      </c>
      <c r="L118" s="2">
        <f t="shared" si="3"/>
        <v>3.6009000000000002</v>
      </c>
      <c r="M118">
        <v>6.43</v>
      </c>
      <c r="N118" s="2">
        <v>454096.609</v>
      </c>
      <c r="O118" s="2">
        <v>444516.1</v>
      </c>
      <c r="P118" s="2">
        <v>11757.449000000001</v>
      </c>
      <c r="Q118" s="2">
        <v>68031.199999999997</v>
      </c>
      <c r="R118" s="2">
        <v>51526</v>
      </c>
      <c r="S118" s="2">
        <v>260685.73199999999</v>
      </c>
      <c r="T118" s="2">
        <v>59632.7</v>
      </c>
      <c r="U118" s="2">
        <f>SUM(bs_rates_ovt[[#This Row],[deposits_overnight]:[other_funding]])</f>
        <v>1350245.79</v>
      </c>
    </row>
    <row r="119" spans="1:21">
      <c r="A119" s="1">
        <v>41913</v>
      </c>
      <c r="B119">
        <v>40646.199999999997</v>
      </c>
      <c r="C119">
        <v>422579.06599999999</v>
      </c>
      <c r="D119">
        <v>194314.2</v>
      </c>
      <c r="E119">
        <v>22097.200000000001</v>
      </c>
      <c r="F119">
        <v>76965.899999999994</v>
      </c>
      <c r="G119" s="3">
        <v>924332.4</v>
      </c>
      <c r="H119">
        <v>1680934.966</v>
      </c>
      <c r="I119" s="2">
        <v>2.0266666666666699</v>
      </c>
      <c r="J119" s="2">
        <v>2.72</v>
      </c>
      <c r="K119" s="2">
        <f t="shared" si="2"/>
        <v>4.7200000000000006</v>
      </c>
      <c r="L119" s="2">
        <f t="shared" si="3"/>
        <v>3.22</v>
      </c>
      <c r="M119">
        <v>5.92</v>
      </c>
      <c r="N119" s="2">
        <v>448704.02600000001</v>
      </c>
      <c r="O119" s="2">
        <v>457107.9</v>
      </c>
      <c r="P119" s="2">
        <v>9852.48</v>
      </c>
      <c r="Q119" s="2">
        <v>67053.5</v>
      </c>
      <c r="R119" s="2">
        <v>46370.1</v>
      </c>
      <c r="S119" s="2">
        <v>265495.34999999998</v>
      </c>
      <c r="T119" s="2">
        <v>53258.3</v>
      </c>
      <c r="U119" s="2">
        <f>SUM(bs_rates_ovt[[#This Row],[deposits_overnight]:[other_funding]])</f>
        <v>1347841.656</v>
      </c>
    </row>
    <row r="120" spans="1:21">
      <c r="A120" s="1">
        <v>41944</v>
      </c>
      <c r="B120">
        <v>42148.6</v>
      </c>
      <c r="C120">
        <v>423549.78899999999</v>
      </c>
      <c r="D120">
        <v>196485.6</v>
      </c>
      <c r="E120">
        <v>22443.9</v>
      </c>
      <c r="F120">
        <v>77812.800000000003</v>
      </c>
      <c r="G120" s="3">
        <v>931597.6</v>
      </c>
      <c r="H120">
        <v>1694038.2889999999</v>
      </c>
      <c r="I120" s="2">
        <v>1.9577777777777801</v>
      </c>
      <c r="J120" s="2">
        <v>2.54</v>
      </c>
      <c r="K120" s="2">
        <f t="shared" si="2"/>
        <v>4.54</v>
      </c>
      <c r="L120" s="2">
        <f t="shared" si="3"/>
        <v>3.04</v>
      </c>
      <c r="M120">
        <v>5.64</v>
      </c>
      <c r="N120" s="2">
        <v>456575.201</v>
      </c>
      <c r="O120" s="2">
        <v>453770.7</v>
      </c>
      <c r="P120" s="2">
        <v>9398.6450000000004</v>
      </c>
      <c r="Q120" s="2">
        <v>71858.899999999994</v>
      </c>
      <c r="R120" s="2">
        <v>46207.1</v>
      </c>
      <c r="S120" s="2">
        <v>262916.09100000001</v>
      </c>
      <c r="T120" s="2">
        <v>58421.7</v>
      </c>
      <c r="U120" s="2">
        <f>SUM(bs_rates_ovt[[#This Row],[deposits_overnight]:[other_funding]])</f>
        <v>1359148.3370000001</v>
      </c>
    </row>
    <row r="121" spans="1:21">
      <c r="A121" s="1">
        <v>41974</v>
      </c>
      <c r="B121">
        <v>42609.9</v>
      </c>
      <c r="C121">
        <v>437357.71899999998</v>
      </c>
      <c r="D121">
        <v>198488.3</v>
      </c>
      <c r="E121">
        <v>24300.9</v>
      </c>
      <c r="F121">
        <v>79184.2</v>
      </c>
      <c r="G121" s="3">
        <v>928075.8</v>
      </c>
      <c r="H121">
        <v>1710016.8190000001</v>
      </c>
      <c r="I121" s="2">
        <v>1.8888888888888899</v>
      </c>
      <c r="J121" s="2">
        <v>2.553157895</v>
      </c>
      <c r="K121" s="2">
        <f t="shared" si="2"/>
        <v>4.553157895</v>
      </c>
      <c r="L121" s="2">
        <f t="shared" si="3"/>
        <v>3.053157895</v>
      </c>
      <c r="M121">
        <v>5.55</v>
      </c>
      <c r="N121" s="2">
        <v>476252.74099999998</v>
      </c>
      <c r="O121" s="2">
        <v>458782.4</v>
      </c>
      <c r="P121" s="2">
        <v>10350.304</v>
      </c>
      <c r="Q121" s="2">
        <v>55384.2</v>
      </c>
      <c r="R121" s="2">
        <v>44685.599999999999</v>
      </c>
      <c r="S121" s="2">
        <v>264411.07199999999</v>
      </c>
      <c r="T121" s="2">
        <v>55954.8</v>
      </c>
      <c r="U121" s="2">
        <f>SUM(bs_rates_ovt[[#This Row],[deposits_overnight]:[other_funding]])</f>
        <v>1365821.1170000001</v>
      </c>
    </row>
    <row r="122" spans="1:21">
      <c r="A122" s="1">
        <v>42005</v>
      </c>
      <c r="B122">
        <v>44615.5</v>
      </c>
      <c r="C122">
        <v>466647.90299999999</v>
      </c>
      <c r="D122">
        <v>198403.4</v>
      </c>
      <c r="E122">
        <v>24669.599999999999</v>
      </c>
      <c r="F122">
        <v>79390.899999999994</v>
      </c>
      <c r="G122" s="3">
        <v>945394.4</v>
      </c>
      <c r="H122">
        <v>1759121.703</v>
      </c>
      <c r="I122" s="2">
        <v>1.82</v>
      </c>
      <c r="J122" s="2">
        <v>2.2109999999999999</v>
      </c>
      <c r="K122" s="2">
        <f t="shared" si="2"/>
        <v>4.2110000000000003</v>
      </c>
      <c r="L122" s="2">
        <f t="shared" si="3"/>
        <v>2.7109999999999999</v>
      </c>
      <c r="M122">
        <v>5.45</v>
      </c>
      <c r="N122" s="2">
        <v>466387.64600000001</v>
      </c>
      <c r="O122" s="2">
        <v>455684.6</v>
      </c>
      <c r="P122" s="2">
        <v>8196.6149999999998</v>
      </c>
      <c r="Q122" s="2">
        <v>64074.400000000001</v>
      </c>
      <c r="R122" s="2">
        <v>45827.6</v>
      </c>
      <c r="S122" s="2">
        <v>299880.46399999998</v>
      </c>
      <c r="T122" s="2">
        <v>62339.4</v>
      </c>
      <c r="U122" s="2">
        <f>SUM(bs_rates_ovt[[#This Row],[deposits_overnight]:[other_funding]])</f>
        <v>1402390.7249999999</v>
      </c>
    </row>
    <row r="123" spans="1:21">
      <c r="A123" s="1">
        <v>42036</v>
      </c>
      <c r="B123">
        <v>43623.4</v>
      </c>
      <c r="C123">
        <v>451803.84100000001</v>
      </c>
      <c r="D123">
        <v>203156.5</v>
      </c>
      <c r="E123">
        <v>25006.2</v>
      </c>
      <c r="F123">
        <v>78597.7</v>
      </c>
      <c r="G123" s="3">
        <v>942580.9</v>
      </c>
      <c r="H123">
        <v>1744768.541</v>
      </c>
      <c r="I123" s="2">
        <v>1.7744444444444434</v>
      </c>
      <c r="J123" s="2">
        <v>2.1960000000000002</v>
      </c>
      <c r="K123" s="2">
        <f t="shared" si="2"/>
        <v>4.1959999999999997</v>
      </c>
      <c r="L123" s="2">
        <f t="shared" si="3"/>
        <v>2.6960000000000002</v>
      </c>
      <c r="M123">
        <v>5.47</v>
      </c>
      <c r="N123" s="2">
        <v>471781.74</v>
      </c>
      <c r="O123" s="2">
        <v>455343.2</v>
      </c>
      <c r="P123" s="2">
        <v>9832.2710000000006</v>
      </c>
      <c r="Q123" s="2">
        <v>69604.600000000006</v>
      </c>
      <c r="R123" s="2">
        <v>46149</v>
      </c>
      <c r="S123" s="2">
        <v>276672.01299999998</v>
      </c>
      <c r="T123" s="2">
        <v>60379.4</v>
      </c>
      <c r="U123" s="2">
        <f>SUM(bs_rates_ovt[[#This Row],[deposits_overnight]:[other_funding]])</f>
        <v>1389762.2239999997</v>
      </c>
    </row>
    <row r="124" spans="1:21">
      <c r="A124" s="1">
        <v>42064</v>
      </c>
      <c r="B124">
        <v>45375.6</v>
      </c>
      <c r="C124">
        <v>461353.4</v>
      </c>
      <c r="D124">
        <v>203398.39999999999</v>
      </c>
      <c r="E124">
        <v>24858.2</v>
      </c>
      <c r="F124">
        <v>77845.600000000006</v>
      </c>
      <c r="G124" s="3">
        <v>954283.2</v>
      </c>
      <c r="H124">
        <v>1767114.4</v>
      </c>
      <c r="I124" s="2">
        <v>1.7288888888888867</v>
      </c>
      <c r="J124" s="2">
        <v>2.3254545449999999</v>
      </c>
      <c r="K124" s="2">
        <f t="shared" si="2"/>
        <v>4.3254545449999995</v>
      </c>
      <c r="L124" s="2">
        <f t="shared" si="3"/>
        <v>2.8254545449999999</v>
      </c>
      <c r="M124">
        <v>5.09</v>
      </c>
      <c r="N124" s="2">
        <v>486668.19300000003</v>
      </c>
      <c r="O124" s="2">
        <v>450861.7</v>
      </c>
      <c r="P124" s="2">
        <v>11075.174999999999</v>
      </c>
      <c r="Q124" s="2">
        <v>75091</v>
      </c>
      <c r="R124" s="2">
        <v>46707.199999999997</v>
      </c>
      <c r="S124" s="2">
        <v>277552.65000000002</v>
      </c>
      <c r="T124" s="2">
        <v>59638.2</v>
      </c>
      <c r="U124" s="2">
        <f>SUM(bs_rates_ovt[[#This Row],[deposits_overnight]:[other_funding]])</f>
        <v>1407594.118</v>
      </c>
    </row>
    <row r="125" spans="1:21">
      <c r="A125" s="1">
        <v>42095</v>
      </c>
      <c r="B125">
        <v>45213.7</v>
      </c>
      <c r="C125">
        <v>456152.72700000001</v>
      </c>
      <c r="D125">
        <v>206684.4</v>
      </c>
      <c r="E125">
        <v>24836.7</v>
      </c>
      <c r="F125">
        <v>77380.7</v>
      </c>
      <c r="G125" s="3">
        <v>947565.2</v>
      </c>
      <c r="H125">
        <v>1757833.4269999999</v>
      </c>
      <c r="I125" s="2">
        <v>1.68333333333333</v>
      </c>
      <c r="J125" s="2">
        <v>2.3675000000000002</v>
      </c>
      <c r="K125" s="2">
        <f t="shared" si="2"/>
        <v>4.3674999999999997</v>
      </c>
      <c r="L125" s="2">
        <f t="shared" si="3"/>
        <v>2.8675000000000002</v>
      </c>
      <c r="M125">
        <v>4.8899999999999997</v>
      </c>
      <c r="N125" s="2">
        <v>477504.38199999998</v>
      </c>
      <c r="O125" s="2">
        <v>451138</v>
      </c>
      <c r="P125" s="2">
        <v>8296.9770000000008</v>
      </c>
      <c r="Q125" s="2">
        <v>80877.399999999994</v>
      </c>
      <c r="R125" s="2">
        <v>47470.400000000001</v>
      </c>
      <c r="S125" s="2">
        <v>281415.79100000003</v>
      </c>
      <c r="T125" s="2">
        <v>58547.4</v>
      </c>
      <c r="U125" s="2">
        <f>SUM(bs_rates_ovt[[#This Row],[deposits_overnight]:[other_funding]])</f>
        <v>1405250.3499999999</v>
      </c>
    </row>
    <row r="126" spans="1:21">
      <c r="A126" s="1">
        <v>42125</v>
      </c>
      <c r="B126">
        <v>43499.4</v>
      </c>
      <c r="C126">
        <v>473212.12199999997</v>
      </c>
      <c r="D126">
        <v>209709.1</v>
      </c>
      <c r="E126">
        <v>24937.4</v>
      </c>
      <c r="F126">
        <v>77774</v>
      </c>
      <c r="G126" s="3">
        <v>961527.3</v>
      </c>
      <c r="H126">
        <v>1790659.3220000002</v>
      </c>
      <c r="I126" s="2">
        <v>1.6966666666666634</v>
      </c>
      <c r="J126" s="2">
        <v>2.82</v>
      </c>
      <c r="K126" s="2">
        <f t="shared" si="2"/>
        <v>4.82</v>
      </c>
      <c r="L126" s="2">
        <f t="shared" si="3"/>
        <v>3.32</v>
      </c>
      <c r="M126">
        <v>4.8</v>
      </c>
      <c r="N126" s="2">
        <v>483889.114</v>
      </c>
      <c r="O126" s="2">
        <v>451186</v>
      </c>
      <c r="P126" s="2">
        <v>9089.2340000000004</v>
      </c>
      <c r="Q126" s="2">
        <v>83922</v>
      </c>
      <c r="R126" s="2">
        <v>46771.7</v>
      </c>
      <c r="S126" s="2">
        <v>295782.99599999998</v>
      </c>
      <c r="T126" s="2">
        <v>57536.9</v>
      </c>
      <c r="U126" s="2">
        <f>SUM(bs_rates_ovt[[#This Row],[deposits_overnight]:[other_funding]])</f>
        <v>1428177.9440000001</v>
      </c>
    </row>
    <row r="127" spans="1:21">
      <c r="A127" s="1">
        <v>42156</v>
      </c>
      <c r="B127">
        <v>40690.800000000003</v>
      </c>
      <c r="C127">
        <v>470576.94099999999</v>
      </c>
      <c r="D127">
        <v>211089.6</v>
      </c>
      <c r="E127">
        <v>25605.8</v>
      </c>
      <c r="F127">
        <v>78200.7</v>
      </c>
      <c r="G127" s="3">
        <v>974129.4</v>
      </c>
      <c r="H127">
        <v>1800293.2409999999</v>
      </c>
      <c r="I127" s="2">
        <v>1.7099999999999966</v>
      </c>
      <c r="J127" s="2">
        <v>3.19</v>
      </c>
      <c r="K127" s="2">
        <f t="shared" si="2"/>
        <v>5.1899999999999995</v>
      </c>
      <c r="L127" s="2">
        <f t="shared" si="3"/>
        <v>3.69</v>
      </c>
      <c r="M127">
        <v>4.82</v>
      </c>
      <c r="N127" s="2">
        <v>499541.96</v>
      </c>
      <c r="O127" s="2">
        <v>447852.7</v>
      </c>
      <c r="P127" s="2">
        <v>8159.8689999999997</v>
      </c>
      <c r="Q127" s="2">
        <v>77634</v>
      </c>
      <c r="R127" s="2">
        <v>47380.1</v>
      </c>
      <c r="S127" s="2">
        <v>301451.14399999997</v>
      </c>
      <c r="T127" s="2">
        <v>56082.6</v>
      </c>
      <c r="U127" s="2">
        <f>SUM(bs_rates_ovt[[#This Row],[deposits_overnight]:[other_funding]])</f>
        <v>1438102.3730000001</v>
      </c>
    </row>
    <row r="128" spans="1:21">
      <c r="A128" s="1">
        <v>42186</v>
      </c>
      <c r="B128">
        <v>41216.800000000003</v>
      </c>
      <c r="C128">
        <v>455408.33799999999</v>
      </c>
      <c r="D128">
        <v>208886.3</v>
      </c>
      <c r="E128">
        <v>25621.9</v>
      </c>
      <c r="F128">
        <v>77764.5</v>
      </c>
      <c r="G128" s="3">
        <v>973792</v>
      </c>
      <c r="H128">
        <v>1782689.838</v>
      </c>
      <c r="I128" s="2">
        <v>1.7233333333333301</v>
      </c>
      <c r="J128" s="2">
        <v>3.16</v>
      </c>
      <c r="K128" s="2">
        <f t="shared" si="2"/>
        <v>5.16</v>
      </c>
      <c r="L128" s="2">
        <f t="shared" si="3"/>
        <v>3.66</v>
      </c>
      <c r="M128">
        <v>4.79</v>
      </c>
      <c r="N128" s="2">
        <v>498089.99099999998</v>
      </c>
      <c r="O128" s="2">
        <v>455216.4</v>
      </c>
      <c r="P128" s="2">
        <v>9781.9</v>
      </c>
      <c r="Q128" s="2">
        <v>69888.100000000006</v>
      </c>
      <c r="R128" s="2">
        <v>46689.2</v>
      </c>
      <c r="S128" s="2">
        <v>287232.35100000002</v>
      </c>
      <c r="T128" s="2">
        <v>51311.199999999997</v>
      </c>
      <c r="U128" s="2">
        <f>SUM(bs_rates_ovt[[#This Row],[deposits_overnight]:[other_funding]])</f>
        <v>1418209.142</v>
      </c>
    </row>
    <row r="129" spans="1:21">
      <c r="A129" s="1">
        <v>42217</v>
      </c>
      <c r="B129">
        <v>43733.2</v>
      </c>
      <c r="C129">
        <v>457113.07400000002</v>
      </c>
      <c r="D129">
        <v>214136.7</v>
      </c>
      <c r="E129">
        <v>25856.7</v>
      </c>
      <c r="F129">
        <v>78058.100000000006</v>
      </c>
      <c r="G129" s="3">
        <v>982699.1</v>
      </c>
      <c r="H129">
        <v>1801596.8739999998</v>
      </c>
      <c r="I129" s="2">
        <v>1.7244444444444433</v>
      </c>
      <c r="J129" s="2">
        <v>2.881904762</v>
      </c>
      <c r="K129" s="2">
        <f t="shared" si="2"/>
        <v>4.8819047619999996</v>
      </c>
      <c r="L129" s="2">
        <f t="shared" si="3"/>
        <v>3.381904762</v>
      </c>
      <c r="M129">
        <v>4.74</v>
      </c>
      <c r="N129" s="2">
        <v>509171.33299999998</v>
      </c>
      <c r="O129" s="2">
        <v>451962.7</v>
      </c>
      <c r="P129" s="2">
        <v>7649.1019999999999</v>
      </c>
      <c r="Q129" s="2">
        <v>76094.7</v>
      </c>
      <c r="R129" s="2">
        <v>47156</v>
      </c>
      <c r="S129" s="2">
        <v>287304.82</v>
      </c>
      <c r="T129" s="2">
        <v>50727.199999999997</v>
      </c>
      <c r="U129" s="2">
        <f>SUM(bs_rates_ovt[[#This Row],[deposits_overnight]:[other_funding]])</f>
        <v>1430065.855</v>
      </c>
    </row>
    <row r="130" spans="1:21">
      <c r="A130" s="1">
        <v>42248</v>
      </c>
      <c r="B130">
        <v>42162.2</v>
      </c>
      <c r="C130">
        <v>466006.18</v>
      </c>
      <c r="D130">
        <v>219786.1</v>
      </c>
      <c r="E130">
        <v>27782.7</v>
      </c>
      <c r="F130">
        <v>78972.3</v>
      </c>
      <c r="G130" s="3">
        <v>989689.6</v>
      </c>
      <c r="H130">
        <v>1824399.08</v>
      </c>
      <c r="I130" s="2">
        <v>1.7255555555555566</v>
      </c>
      <c r="J130" s="2">
        <v>2.9109090910000002</v>
      </c>
      <c r="K130" s="2">
        <f t="shared" si="2"/>
        <v>4.9109090910000006</v>
      </c>
      <c r="L130" s="2">
        <f t="shared" si="3"/>
        <v>3.4109090910000002</v>
      </c>
      <c r="M130">
        <v>4.7699999999999996</v>
      </c>
      <c r="N130" s="2">
        <v>512681.31199999998</v>
      </c>
      <c r="O130" s="2">
        <v>459877.7</v>
      </c>
      <c r="P130" s="2">
        <v>8778.8389999999999</v>
      </c>
      <c r="Q130" s="2">
        <v>84166.5</v>
      </c>
      <c r="R130" s="2">
        <v>47172.9</v>
      </c>
      <c r="S130" s="2">
        <v>288148.42300000001</v>
      </c>
      <c r="T130" s="2">
        <v>52678.3</v>
      </c>
      <c r="U130" s="2">
        <f>SUM(bs_rates_ovt[[#This Row],[deposits_overnight]:[other_funding]])</f>
        <v>1453503.9739999999</v>
      </c>
    </row>
    <row r="131" spans="1:21">
      <c r="A131" s="1">
        <v>42278</v>
      </c>
      <c r="B131">
        <v>41145.5</v>
      </c>
      <c r="C131">
        <v>476347.99200000003</v>
      </c>
      <c r="D131">
        <v>212461.1</v>
      </c>
      <c r="E131">
        <v>27792.3</v>
      </c>
      <c r="F131">
        <v>79385.600000000006</v>
      </c>
      <c r="G131" s="3">
        <v>992150.2</v>
      </c>
      <c r="H131">
        <v>1829282.692</v>
      </c>
      <c r="I131" s="2">
        <v>1.7266666666666699</v>
      </c>
      <c r="J131" s="2">
        <v>2.6609090910000002</v>
      </c>
      <c r="K131" s="2">
        <f t="shared" ref="K131:K194" si="4">J131+2</f>
        <v>4.6609090910000006</v>
      </c>
      <c r="L131" s="2">
        <f t="shared" ref="L131:L194" si="5">J131+0.5</f>
        <v>3.1609090910000002</v>
      </c>
      <c r="M131">
        <v>4.7300000000000004</v>
      </c>
      <c r="N131" s="2">
        <v>511081.049</v>
      </c>
      <c r="O131" s="2">
        <v>471711</v>
      </c>
      <c r="P131" s="2">
        <v>10143.737999999999</v>
      </c>
      <c r="Q131" s="2">
        <v>64050.8</v>
      </c>
      <c r="R131" s="2">
        <v>48205.1</v>
      </c>
      <c r="S131" s="2">
        <v>288558.39899999998</v>
      </c>
      <c r="T131" s="2">
        <v>53774.3</v>
      </c>
      <c r="U131" s="2">
        <f>SUM(bs_rates_ovt[[#This Row],[deposits_overnight]:[other_funding]])</f>
        <v>1447524.3860000002</v>
      </c>
    </row>
    <row r="132" spans="1:21">
      <c r="A132" s="1">
        <v>42309</v>
      </c>
      <c r="B132">
        <v>35941.800000000003</v>
      </c>
      <c r="C132">
        <v>484633.07900000003</v>
      </c>
      <c r="D132">
        <v>213690.5</v>
      </c>
      <c r="E132">
        <v>27823.7</v>
      </c>
      <c r="F132">
        <v>79459.8</v>
      </c>
      <c r="G132" s="3">
        <v>994582.9</v>
      </c>
      <c r="H132">
        <v>1836131.7790000001</v>
      </c>
      <c r="I132" s="2">
        <v>1.7122222222222232</v>
      </c>
      <c r="J132" s="2">
        <v>2.726</v>
      </c>
      <c r="K132" s="2">
        <f t="shared" si="4"/>
        <v>4.726</v>
      </c>
      <c r="L132" s="2">
        <f t="shared" si="5"/>
        <v>3.226</v>
      </c>
      <c r="M132">
        <v>4.74</v>
      </c>
      <c r="N132" s="2">
        <v>529771.82900000003</v>
      </c>
      <c r="O132" s="2">
        <v>463086.1</v>
      </c>
      <c r="P132" s="2">
        <v>9167.8469999999998</v>
      </c>
      <c r="Q132" s="2">
        <v>69674.399999999994</v>
      </c>
      <c r="R132" s="2">
        <v>45320.6</v>
      </c>
      <c r="S132" s="2">
        <v>281086.27799999999</v>
      </c>
      <c r="T132" s="2">
        <v>50883.8</v>
      </c>
      <c r="U132" s="2">
        <f>SUM(bs_rates_ovt[[#This Row],[deposits_overnight]:[other_funding]])</f>
        <v>1448990.8540000001</v>
      </c>
    </row>
    <row r="133" spans="1:21">
      <c r="A133" s="1">
        <v>42339</v>
      </c>
      <c r="B133">
        <v>30036.1</v>
      </c>
      <c r="C133">
        <v>451321.65700000001</v>
      </c>
      <c r="D133">
        <v>212103.5</v>
      </c>
      <c r="E133">
        <v>28458.6</v>
      </c>
      <c r="F133">
        <v>80713.899999999994</v>
      </c>
      <c r="G133" s="3">
        <v>994885</v>
      </c>
      <c r="H133">
        <v>1797518.757</v>
      </c>
      <c r="I133" s="2">
        <v>1.6977777777777767</v>
      </c>
      <c r="J133" s="2">
        <v>2.9569999999999999</v>
      </c>
      <c r="K133" s="2">
        <f t="shared" si="4"/>
        <v>4.9569999999999999</v>
      </c>
      <c r="L133" s="2">
        <f t="shared" si="5"/>
        <v>3.4569999999999999</v>
      </c>
      <c r="M133">
        <v>4.72</v>
      </c>
      <c r="N133" s="2">
        <v>542408.85199999996</v>
      </c>
      <c r="O133" s="2">
        <v>475135.9</v>
      </c>
      <c r="P133" s="2">
        <v>7267.0590000000002</v>
      </c>
      <c r="Q133" s="2">
        <v>36964.300000000003</v>
      </c>
      <c r="R133" s="2">
        <v>47825.1</v>
      </c>
      <c r="S133" s="2">
        <v>264218.87699999998</v>
      </c>
      <c r="T133" s="2">
        <v>44062.7</v>
      </c>
      <c r="U133" s="2">
        <f>SUM(bs_rates_ovt[[#This Row],[deposits_overnight]:[other_funding]])</f>
        <v>1417882.7879999999</v>
      </c>
    </row>
    <row r="134" spans="1:21">
      <c r="A134" s="1">
        <v>42370</v>
      </c>
      <c r="B134">
        <v>32455</v>
      </c>
      <c r="C134">
        <v>492898.478</v>
      </c>
      <c r="D134">
        <v>228337.8</v>
      </c>
      <c r="E134">
        <v>28913.7</v>
      </c>
      <c r="F134">
        <v>80877.600000000006</v>
      </c>
      <c r="G134" s="3">
        <v>1007308.4</v>
      </c>
      <c r="H134">
        <v>1870790.9779999999</v>
      </c>
      <c r="I134" s="2">
        <v>1.68333333333333</v>
      </c>
      <c r="J134" s="2">
        <v>2.9968421049999998</v>
      </c>
      <c r="K134" s="2">
        <f t="shared" si="4"/>
        <v>4.9968421049999998</v>
      </c>
      <c r="L134" s="2">
        <f t="shared" si="5"/>
        <v>3.4968421049999998</v>
      </c>
      <c r="M134">
        <v>4.72</v>
      </c>
      <c r="N134" s="2">
        <v>534555.38100000005</v>
      </c>
      <c r="O134" s="2">
        <v>476711.7</v>
      </c>
      <c r="P134" s="2">
        <v>7583.5249999999996</v>
      </c>
      <c r="Q134" s="2">
        <v>57613</v>
      </c>
      <c r="R134" s="2">
        <v>47677.2</v>
      </c>
      <c r="S134" s="2">
        <v>298672.23499999999</v>
      </c>
      <c r="T134" s="2">
        <v>49413.1</v>
      </c>
      <c r="U134" s="2">
        <f>SUM(bs_rates_ovt[[#This Row],[deposits_overnight]:[other_funding]])</f>
        <v>1472226.1410000003</v>
      </c>
    </row>
    <row r="135" spans="1:21">
      <c r="A135" s="1">
        <v>42401</v>
      </c>
      <c r="B135">
        <v>29943.3</v>
      </c>
      <c r="C135">
        <v>485548.58500000002</v>
      </c>
      <c r="D135">
        <v>256522.6</v>
      </c>
      <c r="E135">
        <v>28180.2</v>
      </c>
      <c r="F135">
        <v>80275.399999999994</v>
      </c>
      <c r="G135" s="3">
        <v>1000616.3</v>
      </c>
      <c r="H135">
        <v>1881086.385</v>
      </c>
      <c r="I135" s="2">
        <v>1.6844444444444433</v>
      </c>
      <c r="J135" s="2">
        <v>3.03</v>
      </c>
      <c r="K135" s="2">
        <f t="shared" si="4"/>
        <v>5.0299999999999994</v>
      </c>
      <c r="L135" s="2">
        <f t="shared" si="5"/>
        <v>3.53</v>
      </c>
      <c r="M135">
        <v>4.74</v>
      </c>
      <c r="N135" s="2">
        <v>548369.67099999997</v>
      </c>
      <c r="O135" s="2">
        <v>472412.1</v>
      </c>
      <c r="P135" s="2">
        <v>5151.9759999999997</v>
      </c>
      <c r="Q135" s="2">
        <v>64426.6</v>
      </c>
      <c r="R135" s="2">
        <v>47936.6</v>
      </c>
      <c r="S135" s="2">
        <v>303401.45899999997</v>
      </c>
      <c r="T135" s="2">
        <v>43019.1</v>
      </c>
      <c r="U135" s="2">
        <f>SUM(bs_rates_ovt[[#This Row],[deposits_overnight]:[other_funding]])</f>
        <v>1484717.5060000003</v>
      </c>
    </row>
    <row r="136" spans="1:21">
      <c r="A136" s="1">
        <v>42430</v>
      </c>
      <c r="B136">
        <v>26844.6</v>
      </c>
      <c r="C136">
        <v>466705.74699999997</v>
      </c>
      <c r="D136">
        <v>263883.90000000002</v>
      </c>
      <c r="E136">
        <v>28688.5</v>
      </c>
      <c r="F136">
        <v>79068.3</v>
      </c>
      <c r="G136" s="3">
        <v>999034.6</v>
      </c>
      <c r="H136">
        <v>1864225.6469999999</v>
      </c>
      <c r="I136" s="2">
        <v>1.6855555555555568</v>
      </c>
      <c r="J136" s="2">
        <v>2.89</v>
      </c>
      <c r="K136" s="2">
        <f t="shared" si="4"/>
        <v>4.8900000000000006</v>
      </c>
      <c r="L136" s="2">
        <f t="shared" si="5"/>
        <v>3.39</v>
      </c>
      <c r="M136">
        <v>4.6899999999999995</v>
      </c>
      <c r="N136" s="2">
        <v>551941.32200000004</v>
      </c>
      <c r="O136" s="2">
        <v>471592.6</v>
      </c>
      <c r="P136" s="2">
        <v>4837.299</v>
      </c>
      <c r="Q136" s="2">
        <v>63897.9</v>
      </c>
      <c r="R136" s="2">
        <v>47954.2</v>
      </c>
      <c r="S136" s="2">
        <v>294876.696</v>
      </c>
      <c r="T136" s="2">
        <v>42172.6</v>
      </c>
      <c r="U136" s="2">
        <f>SUM(bs_rates_ovt[[#This Row],[deposits_overnight]:[other_funding]])</f>
        <v>1477272.6170000001</v>
      </c>
    </row>
    <row r="137" spans="1:21">
      <c r="A137" s="1">
        <v>42461</v>
      </c>
      <c r="B137">
        <v>28617.9</v>
      </c>
      <c r="C137">
        <v>495383.2</v>
      </c>
      <c r="D137">
        <v>264131</v>
      </c>
      <c r="E137">
        <v>28636.2</v>
      </c>
      <c r="F137">
        <v>79468.899999999994</v>
      </c>
      <c r="G137" s="3">
        <v>1014474.5</v>
      </c>
      <c r="H137">
        <v>1910711.7000000002</v>
      </c>
      <c r="I137" s="2">
        <v>1.6866666666666701</v>
      </c>
      <c r="J137" s="2">
        <v>2.9528571430000001</v>
      </c>
      <c r="K137" s="2">
        <f t="shared" si="4"/>
        <v>4.9528571430000001</v>
      </c>
      <c r="L137" s="2">
        <f t="shared" si="5"/>
        <v>3.4528571430000001</v>
      </c>
      <c r="M137">
        <v>4.67</v>
      </c>
      <c r="N137" s="2">
        <v>553392.48899999994</v>
      </c>
      <c r="O137" s="2">
        <v>480980.1</v>
      </c>
      <c r="P137" s="2">
        <v>5600.643</v>
      </c>
      <c r="Q137" s="2">
        <v>74500.600000000006</v>
      </c>
      <c r="R137" s="2">
        <v>49806.7</v>
      </c>
      <c r="S137" s="2">
        <v>302316.07299999997</v>
      </c>
      <c r="T137" s="2">
        <v>42716.6</v>
      </c>
      <c r="U137" s="2">
        <f>SUM(bs_rates_ovt[[#This Row],[deposits_overnight]:[other_funding]])</f>
        <v>1509313.2050000001</v>
      </c>
    </row>
    <row r="138" spans="1:21">
      <c r="A138" s="1">
        <v>42491</v>
      </c>
      <c r="B138">
        <v>28056.400000000001</v>
      </c>
      <c r="C138">
        <v>522376.103</v>
      </c>
      <c r="D138">
        <v>268281.90000000002</v>
      </c>
      <c r="E138">
        <v>28775.200000000001</v>
      </c>
      <c r="F138">
        <v>79708.5</v>
      </c>
      <c r="G138" s="3">
        <v>1012982.6</v>
      </c>
      <c r="H138">
        <v>1940180.703</v>
      </c>
      <c r="I138" s="2">
        <v>1.6944444444444466</v>
      </c>
      <c r="J138" s="2">
        <v>3.04</v>
      </c>
      <c r="K138" s="2">
        <f t="shared" si="4"/>
        <v>5.04</v>
      </c>
      <c r="L138" s="2">
        <f t="shared" si="5"/>
        <v>3.54</v>
      </c>
      <c r="M138">
        <v>4.6500000000000004</v>
      </c>
      <c r="N138" s="2">
        <v>568873.05700000003</v>
      </c>
      <c r="O138" s="2">
        <v>474269.3</v>
      </c>
      <c r="P138" s="2">
        <v>5458.4949999999999</v>
      </c>
      <c r="Q138" s="2">
        <v>78289.8</v>
      </c>
      <c r="R138" s="2">
        <v>52748.5</v>
      </c>
      <c r="S138" s="2">
        <v>313195.26799999998</v>
      </c>
      <c r="T138" s="2">
        <v>41053.199999999997</v>
      </c>
      <c r="U138" s="2">
        <f>SUM(bs_rates_ovt[[#This Row],[deposits_overnight]:[other_funding]])</f>
        <v>1533887.62</v>
      </c>
    </row>
    <row r="139" spans="1:21">
      <c r="A139" s="1">
        <v>42522</v>
      </c>
      <c r="B139">
        <v>27221.599999999999</v>
      </c>
      <c r="C139">
        <v>534708.88899999997</v>
      </c>
      <c r="D139">
        <v>269585.7</v>
      </c>
      <c r="E139">
        <v>29174.400000000001</v>
      </c>
      <c r="F139">
        <v>80457.7</v>
      </c>
      <c r="G139" s="3">
        <v>1022354</v>
      </c>
      <c r="H139">
        <v>1963502.2889999999</v>
      </c>
      <c r="I139" s="2">
        <v>1.7022222222222234</v>
      </c>
      <c r="J139" s="2">
        <v>3.11</v>
      </c>
      <c r="K139" s="2">
        <f t="shared" si="4"/>
        <v>5.1099999999999994</v>
      </c>
      <c r="L139" s="2">
        <f t="shared" si="5"/>
        <v>3.61</v>
      </c>
      <c r="M139">
        <v>4.7</v>
      </c>
      <c r="N139" s="2">
        <v>577082.80700000003</v>
      </c>
      <c r="O139" s="2">
        <v>474344.4</v>
      </c>
      <c r="P139" s="2">
        <v>5433.7240000000002</v>
      </c>
      <c r="Q139" s="2">
        <v>73995.8</v>
      </c>
      <c r="R139" s="2">
        <v>53888.5</v>
      </c>
      <c r="S139" s="2">
        <v>319653.29200000002</v>
      </c>
      <c r="T139" s="2">
        <v>46154.8</v>
      </c>
      <c r="U139" s="2">
        <f>SUM(bs_rates_ovt[[#This Row],[deposits_overnight]:[other_funding]])</f>
        <v>1550553.3230000001</v>
      </c>
    </row>
    <row r="140" spans="1:21">
      <c r="A140" s="1">
        <v>42552</v>
      </c>
      <c r="B140">
        <v>27144.7</v>
      </c>
      <c r="C140">
        <v>517624.12</v>
      </c>
      <c r="D140">
        <v>268253.3</v>
      </c>
      <c r="E140">
        <v>29215.200000000001</v>
      </c>
      <c r="F140">
        <v>80768.399999999994</v>
      </c>
      <c r="G140" s="3">
        <v>1022830.8</v>
      </c>
      <c r="H140">
        <v>1945836.52</v>
      </c>
      <c r="I140" s="2">
        <v>1.71</v>
      </c>
      <c r="J140" s="2">
        <v>2.8885714290000002</v>
      </c>
      <c r="K140" s="2">
        <f t="shared" si="4"/>
        <v>4.8885714290000006</v>
      </c>
      <c r="L140" s="2">
        <f t="shared" si="5"/>
        <v>3.3885714290000002</v>
      </c>
      <c r="M140">
        <v>4.7699999999999996</v>
      </c>
      <c r="N140" s="2">
        <v>573785.88399999996</v>
      </c>
      <c r="O140" s="2">
        <v>478177.5</v>
      </c>
      <c r="P140" s="2">
        <v>5884.0529999999999</v>
      </c>
      <c r="Q140" s="2">
        <v>73085.3</v>
      </c>
      <c r="R140" s="2">
        <v>54262.400000000001</v>
      </c>
      <c r="S140" s="2">
        <v>312901.14199999999</v>
      </c>
      <c r="T140" s="2">
        <v>43060.4</v>
      </c>
      <c r="U140" s="2">
        <f>SUM(bs_rates_ovt[[#This Row],[deposits_overnight]:[other_funding]])</f>
        <v>1541156.679</v>
      </c>
    </row>
    <row r="141" spans="1:21">
      <c r="A141" s="1">
        <v>42583</v>
      </c>
      <c r="B141">
        <v>26600.9</v>
      </c>
      <c r="C141">
        <v>519131.783</v>
      </c>
      <c r="D141">
        <v>270576.3</v>
      </c>
      <c r="E141">
        <v>30127.4</v>
      </c>
      <c r="F141">
        <v>80514.3</v>
      </c>
      <c r="G141" s="3">
        <v>1022727.8</v>
      </c>
      <c r="H141">
        <v>1949678.483</v>
      </c>
      <c r="I141" s="2">
        <v>1.7155555555555566</v>
      </c>
      <c r="J141" s="2">
        <v>2.71</v>
      </c>
      <c r="K141" s="2">
        <f t="shared" si="4"/>
        <v>4.71</v>
      </c>
      <c r="L141" s="2">
        <f t="shared" si="5"/>
        <v>3.21</v>
      </c>
      <c r="M141">
        <v>4.7699999999999996</v>
      </c>
      <c r="N141" s="2">
        <v>584748.79</v>
      </c>
      <c r="O141" s="2">
        <v>469055</v>
      </c>
      <c r="P141" s="2">
        <v>5997.1639999999998</v>
      </c>
      <c r="Q141" s="2">
        <v>84112.6</v>
      </c>
      <c r="R141" s="2">
        <v>54485.3</v>
      </c>
      <c r="S141" s="2">
        <v>308333.065</v>
      </c>
      <c r="T141" s="2">
        <v>40567</v>
      </c>
      <c r="U141" s="2">
        <f>SUM(bs_rates_ovt[[#This Row],[deposits_overnight]:[other_funding]])</f>
        <v>1547298.9190000002</v>
      </c>
    </row>
    <row r="142" spans="1:21">
      <c r="A142" s="1">
        <v>42614</v>
      </c>
      <c r="B142">
        <v>27949</v>
      </c>
      <c r="C142">
        <v>520754.47499999998</v>
      </c>
      <c r="D142">
        <v>270885.09999999998</v>
      </c>
      <c r="E142">
        <v>29774.2</v>
      </c>
      <c r="F142">
        <v>80463.8</v>
      </c>
      <c r="G142" s="3">
        <v>1030436.8</v>
      </c>
      <c r="H142">
        <v>1960263.375</v>
      </c>
      <c r="I142" s="2">
        <v>1.7211111111111133</v>
      </c>
      <c r="J142" s="2">
        <v>2.85</v>
      </c>
      <c r="K142" s="2">
        <f t="shared" si="4"/>
        <v>4.8499999999999996</v>
      </c>
      <c r="L142" s="2">
        <f t="shared" si="5"/>
        <v>3.35</v>
      </c>
      <c r="M142">
        <v>4.79</v>
      </c>
      <c r="N142" s="2">
        <v>587923.25899999996</v>
      </c>
      <c r="O142" s="2">
        <v>471132.9</v>
      </c>
      <c r="P142" s="2">
        <v>5753.0910000000003</v>
      </c>
      <c r="Q142" s="2">
        <v>83570.399999999994</v>
      </c>
      <c r="R142" s="2">
        <v>54361.5</v>
      </c>
      <c r="S142" s="2">
        <v>313439.98</v>
      </c>
      <c r="T142" s="2">
        <v>41359.800000000003</v>
      </c>
      <c r="U142" s="2">
        <f>SUM(bs_rates_ovt[[#This Row],[deposits_overnight]:[other_funding]])</f>
        <v>1557540.93</v>
      </c>
    </row>
    <row r="143" spans="1:21">
      <c r="A143" s="1">
        <v>42644</v>
      </c>
      <c r="B143">
        <v>30949.8</v>
      </c>
      <c r="C143">
        <v>538189.42200000002</v>
      </c>
      <c r="D143">
        <v>273479.8</v>
      </c>
      <c r="E143">
        <v>29716.799999999999</v>
      </c>
      <c r="F143">
        <v>81067.899999999994</v>
      </c>
      <c r="G143" s="3">
        <v>1034264.8</v>
      </c>
      <c r="H143">
        <v>1987668.5220000003</v>
      </c>
      <c r="I143" s="2">
        <v>1.7266666666666699</v>
      </c>
      <c r="J143" s="2">
        <v>3.01</v>
      </c>
      <c r="K143" s="2">
        <f t="shared" si="4"/>
        <v>5.01</v>
      </c>
      <c r="L143" s="2">
        <f t="shared" si="5"/>
        <v>3.51</v>
      </c>
      <c r="M143">
        <v>4.75</v>
      </c>
      <c r="N143" s="2">
        <v>592165.68400000001</v>
      </c>
      <c r="O143" s="2">
        <v>474343.4</v>
      </c>
      <c r="P143" s="2">
        <v>5638.6049999999996</v>
      </c>
      <c r="Q143" s="2">
        <v>81490.899999999994</v>
      </c>
      <c r="R143" s="2">
        <v>58411.3</v>
      </c>
      <c r="S143" s="2">
        <v>324591.88400000002</v>
      </c>
      <c r="T143" s="2">
        <v>44431.6</v>
      </c>
      <c r="U143" s="2">
        <f>SUM(bs_rates_ovt[[#This Row],[deposits_overnight]:[other_funding]])</f>
        <v>1581073.3730000001</v>
      </c>
    </row>
    <row r="144" spans="1:21">
      <c r="A144" s="1">
        <v>42675</v>
      </c>
      <c r="B144">
        <v>27223.1</v>
      </c>
      <c r="C144">
        <v>557646.71600000001</v>
      </c>
      <c r="D144">
        <v>283365.3</v>
      </c>
      <c r="E144">
        <v>29870.400000000001</v>
      </c>
      <c r="F144">
        <v>82411.399999999994</v>
      </c>
      <c r="G144" s="3">
        <v>1045988.4</v>
      </c>
      <c r="H144">
        <v>2026505.3160000001</v>
      </c>
      <c r="I144" s="2">
        <v>1.7277777777777799</v>
      </c>
      <c r="J144" s="2">
        <v>3.41</v>
      </c>
      <c r="K144" s="2">
        <f t="shared" si="4"/>
        <v>5.41</v>
      </c>
      <c r="L144" s="2">
        <f t="shared" si="5"/>
        <v>3.91</v>
      </c>
      <c r="M144">
        <v>4.8</v>
      </c>
      <c r="N144" s="2">
        <v>614249.52599999995</v>
      </c>
      <c r="O144" s="2">
        <v>471277.5</v>
      </c>
      <c r="P144" s="2">
        <v>5194.5200000000004</v>
      </c>
      <c r="Q144" s="2">
        <v>78576.399999999994</v>
      </c>
      <c r="R144" s="2">
        <v>59200.3</v>
      </c>
      <c r="S144" s="2">
        <v>332535.36499999999</v>
      </c>
      <c r="T144" s="2">
        <v>47154</v>
      </c>
      <c r="U144" s="2">
        <f>SUM(bs_rates_ovt[[#This Row],[deposits_overnight]:[other_funding]])</f>
        <v>1608187.611</v>
      </c>
    </row>
    <row r="145" spans="1:21">
      <c r="A145" s="1">
        <v>42705</v>
      </c>
      <c r="B145">
        <v>24590.799999999999</v>
      </c>
      <c r="C145">
        <v>572727.21699999995</v>
      </c>
      <c r="D145">
        <v>278224</v>
      </c>
      <c r="E145">
        <v>29382.1</v>
      </c>
      <c r="F145">
        <v>83387.5</v>
      </c>
      <c r="G145" s="3">
        <v>1044625.9</v>
      </c>
      <c r="H145">
        <v>2032937.517</v>
      </c>
      <c r="I145" s="2">
        <v>1.72888888888889</v>
      </c>
      <c r="J145" s="2">
        <v>3.54</v>
      </c>
      <c r="K145" s="2">
        <f t="shared" si="4"/>
        <v>5.54</v>
      </c>
      <c r="L145" s="2">
        <f t="shared" si="5"/>
        <v>4.04</v>
      </c>
      <c r="M145">
        <v>4.74</v>
      </c>
      <c r="N145" s="2">
        <v>640902.81299999997</v>
      </c>
      <c r="O145" s="2">
        <v>466096.5</v>
      </c>
      <c r="P145" s="2">
        <v>6238.6409999999996</v>
      </c>
      <c r="Q145" s="2">
        <v>55777.7</v>
      </c>
      <c r="R145" s="2">
        <v>59003.4</v>
      </c>
      <c r="S145" s="2">
        <v>338518.68300000002</v>
      </c>
      <c r="T145" s="2">
        <v>45788.1</v>
      </c>
      <c r="U145" s="2">
        <f>SUM(bs_rates_ovt[[#This Row],[deposits_overnight]:[other_funding]])</f>
        <v>1612325.8370000001</v>
      </c>
    </row>
    <row r="146" spans="1:21">
      <c r="A146" s="1">
        <v>42736</v>
      </c>
      <c r="B146">
        <v>24203.7</v>
      </c>
      <c r="C146">
        <v>551273.37100000004</v>
      </c>
      <c r="D146">
        <v>283550.59999999998</v>
      </c>
      <c r="E146">
        <v>28839.599999999999</v>
      </c>
      <c r="F146">
        <v>82255.899999999994</v>
      </c>
      <c r="G146" s="3">
        <v>1045367.8</v>
      </c>
      <c r="H146">
        <v>2015490.9709999999</v>
      </c>
      <c r="I146" s="2">
        <v>1.73</v>
      </c>
      <c r="J146" s="2">
        <v>3.68</v>
      </c>
      <c r="K146" s="2">
        <f t="shared" si="4"/>
        <v>5.68</v>
      </c>
      <c r="L146" s="2">
        <f t="shared" si="5"/>
        <v>4.18</v>
      </c>
      <c r="M146">
        <v>4.82</v>
      </c>
      <c r="N146" s="2">
        <v>625970.223</v>
      </c>
      <c r="O146" s="2">
        <v>467105.1</v>
      </c>
      <c r="P146" s="2">
        <v>6711.0630000000001</v>
      </c>
      <c r="Q146" s="2">
        <v>86640.7</v>
      </c>
      <c r="R146" s="2">
        <v>59246.5</v>
      </c>
      <c r="S146" s="2">
        <v>314103.75199999998</v>
      </c>
      <c r="T146" s="2">
        <v>43046.400000000001</v>
      </c>
      <c r="U146" s="2">
        <f>SUM(bs_rates_ovt[[#This Row],[deposits_overnight]:[other_funding]])</f>
        <v>1602823.7379999999</v>
      </c>
    </row>
    <row r="147" spans="1:21">
      <c r="A147" s="1">
        <v>42767</v>
      </c>
      <c r="B147">
        <v>24332.5</v>
      </c>
      <c r="C147">
        <v>541951.74699999997</v>
      </c>
      <c r="D147">
        <v>294256.8</v>
      </c>
      <c r="E147">
        <v>28761.7</v>
      </c>
      <c r="F147">
        <v>81839.899999999994</v>
      </c>
      <c r="G147" s="3">
        <v>1051379.8999999999</v>
      </c>
      <c r="H147">
        <v>2022522.5469999998</v>
      </c>
      <c r="I147" s="2">
        <v>1.73</v>
      </c>
      <c r="J147" s="2">
        <v>3.81</v>
      </c>
      <c r="K147" s="2">
        <f t="shared" si="4"/>
        <v>5.8100000000000005</v>
      </c>
      <c r="L147" s="2">
        <f t="shared" si="5"/>
        <v>4.3100000000000005</v>
      </c>
      <c r="M147">
        <v>4.8899999999999997</v>
      </c>
      <c r="N147" s="2">
        <v>637165.27399999998</v>
      </c>
      <c r="O147" s="2">
        <v>460801.7</v>
      </c>
      <c r="P147" s="2">
        <v>5435.8310000000001</v>
      </c>
      <c r="Q147" s="2">
        <v>97224.3</v>
      </c>
      <c r="R147" s="2">
        <v>59653.8</v>
      </c>
      <c r="S147" s="2">
        <v>301068.07799999998</v>
      </c>
      <c r="T147" s="2">
        <v>43167</v>
      </c>
      <c r="U147" s="2">
        <f>SUM(bs_rates_ovt[[#This Row],[deposits_overnight]:[other_funding]])</f>
        <v>1604515.983</v>
      </c>
    </row>
    <row r="148" spans="1:21">
      <c r="A148" s="1">
        <v>42795</v>
      </c>
      <c r="B148">
        <v>26761.200000000001</v>
      </c>
      <c r="C148">
        <v>537179.70900000003</v>
      </c>
      <c r="D148">
        <v>289851.7</v>
      </c>
      <c r="E148">
        <v>28630.6</v>
      </c>
      <c r="F148">
        <v>81620.7</v>
      </c>
      <c r="G148" s="3">
        <v>1055145.1000000001</v>
      </c>
      <c r="H148">
        <v>2019189.0090000001</v>
      </c>
      <c r="I148" s="2">
        <v>1.73</v>
      </c>
      <c r="J148" s="2">
        <v>3.66</v>
      </c>
      <c r="K148" s="2">
        <f t="shared" si="4"/>
        <v>5.66</v>
      </c>
      <c r="L148" s="2">
        <f t="shared" si="5"/>
        <v>4.16</v>
      </c>
      <c r="M148">
        <v>4.82</v>
      </c>
      <c r="N148" s="2">
        <v>637603.43200000003</v>
      </c>
      <c r="O148" s="2">
        <v>458383.1</v>
      </c>
      <c r="P148" s="2">
        <v>5990.3950000000004</v>
      </c>
      <c r="Q148" s="2">
        <v>93790.399999999994</v>
      </c>
      <c r="R148" s="2">
        <v>59988.800000000003</v>
      </c>
      <c r="S148" s="2">
        <v>305919.35700000002</v>
      </c>
      <c r="T148" s="2">
        <v>45835</v>
      </c>
      <c r="U148" s="2">
        <f>SUM(bs_rates_ovt[[#This Row],[deposits_overnight]:[other_funding]])</f>
        <v>1607510.4840000002</v>
      </c>
    </row>
    <row r="149" spans="1:21">
      <c r="A149" s="1">
        <v>42826</v>
      </c>
      <c r="B149">
        <v>27759.3</v>
      </c>
      <c r="C149">
        <v>517047.84899999999</v>
      </c>
      <c r="D149">
        <v>288604.3</v>
      </c>
      <c r="E149">
        <v>28723</v>
      </c>
      <c r="F149">
        <v>81140.100000000006</v>
      </c>
      <c r="G149" s="3">
        <v>1063737.8</v>
      </c>
      <c r="H149">
        <v>2007012.3489999999</v>
      </c>
      <c r="I149" s="2">
        <v>1.73</v>
      </c>
      <c r="J149" s="2">
        <v>3.42</v>
      </c>
      <c r="K149" s="2">
        <f t="shared" si="4"/>
        <v>5.42</v>
      </c>
      <c r="L149" s="2">
        <f t="shared" si="5"/>
        <v>3.92</v>
      </c>
      <c r="M149">
        <v>4.8</v>
      </c>
      <c r="N149" s="2">
        <v>635734.04599999997</v>
      </c>
      <c r="O149" s="2">
        <v>460159.3</v>
      </c>
      <c r="P149" s="2">
        <v>6610.9840000000004</v>
      </c>
      <c r="Q149" s="2">
        <v>97350.8</v>
      </c>
      <c r="R149" s="2">
        <v>61350.9</v>
      </c>
      <c r="S149" s="2">
        <v>284599.73499999999</v>
      </c>
      <c r="T149" s="2">
        <v>51772.2</v>
      </c>
      <c r="U149" s="2">
        <f>SUM(bs_rates_ovt[[#This Row],[deposits_overnight]:[other_funding]])</f>
        <v>1597577.9649999996</v>
      </c>
    </row>
    <row r="150" spans="1:21">
      <c r="A150" s="1">
        <v>42856</v>
      </c>
      <c r="B150">
        <v>31190.2</v>
      </c>
      <c r="C150">
        <v>510588.65700000001</v>
      </c>
      <c r="D150">
        <v>291205.7</v>
      </c>
      <c r="E150">
        <v>28247</v>
      </c>
      <c r="F150">
        <v>80902</v>
      </c>
      <c r="G150" s="3">
        <v>1065011.1000000001</v>
      </c>
      <c r="H150">
        <v>2007144.6570000001</v>
      </c>
      <c r="I150" s="2">
        <v>1.73</v>
      </c>
      <c r="J150" s="2">
        <v>3.35</v>
      </c>
      <c r="K150" s="2">
        <f t="shared" si="4"/>
        <v>5.35</v>
      </c>
      <c r="L150" s="2">
        <f t="shared" si="5"/>
        <v>3.85</v>
      </c>
      <c r="M150">
        <v>4.7699999999999996</v>
      </c>
      <c r="N150" s="2">
        <v>650464.16200000001</v>
      </c>
      <c r="O150" s="2">
        <v>450811.2</v>
      </c>
      <c r="P150" s="2">
        <v>9074.9060000000009</v>
      </c>
      <c r="Q150" s="2">
        <v>98992.7</v>
      </c>
      <c r="R150" s="2">
        <v>62413</v>
      </c>
      <c r="S150" s="2">
        <v>282129.402</v>
      </c>
      <c r="T150" s="2">
        <v>48860</v>
      </c>
      <c r="U150" s="2">
        <f>SUM(bs_rates_ovt[[#This Row],[deposits_overnight]:[other_funding]])</f>
        <v>1602745.3699999999</v>
      </c>
    </row>
    <row r="151" spans="1:21">
      <c r="A151" s="1">
        <v>42887</v>
      </c>
      <c r="B151">
        <v>26764.376</v>
      </c>
      <c r="C151">
        <v>498495.98300000001</v>
      </c>
      <c r="D151">
        <v>295660.18900000001</v>
      </c>
      <c r="E151">
        <v>27598.772000000001</v>
      </c>
      <c r="F151">
        <v>81601.053</v>
      </c>
      <c r="G151" s="3">
        <v>1071472.18</v>
      </c>
      <c r="H151">
        <v>2001592.5529999998</v>
      </c>
      <c r="I151" s="2">
        <v>1.73</v>
      </c>
      <c r="J151" s="2">
        <v>3.19</v>
      </c>
      <c r="K151" s="2">
        <f t="shared" si="4"/>
        <v>5.1899999999999995</v>
      </c>
      <c r="L151" s="2">
        <f t="shared" si="5"/>
        <v>3.69</v>
      </c>
      <c r="M151">
        <v>4.82</v>
      </c>
      <c r="N151" s="2">
        <v>653894.13600000006</v>
      </c>
      <c r="O151" s="2">
        <v>444067.72200000001</v>
      </c>
      <c r="P151" s="2">
        <v>7741.5680000000002</v>
      </c>
      <c r="Q151" s="2">
        <v>110456.99099999999</v>
      </c>
      <c r="R151" s="2">
        <v>62664.875999999997</v>
      </c>
      <c r="S151" s="2">
        <v>281478.94799999997</v>
      </c>
      <c r="T151" s="2">
        <v>46256.315999999999</v>
      </c>
      <c r="U151" s="2">
        <f>SUM(bs_rates_ovt[[#This Row],[deposits_overnight]:[other_funding]])</f>
        <v>1606560.557</v>
      </c>
    </row>
    <row r="152" spans="1:21">
      <c r="A152" s="1">
        <v>42917</v>
      </c>
      <c r="B152">
        <v>27785.326000000001</v>
      </c>
      <c r="C152">
        <v>483683.272</v>
      </c>
      <c r="D152">
        <v>286390.02799999999</v>
      </c>
      <c r="E152">
        <v>27979.467000000001</v>
      </c>
      <c r="F152">
        <v>80809.691000000006</v>
      </c>
      <c r="G152" s="3">
        <v>1072449.095</v>
      </c>
      <c r="H152">
        <v>1979096.8789999997</v>
      </c>
      <c r="I152" s="2">
        <v>1.73</v>
      </c>
      <c r="J152" s="2">
        <v>3.3</v>
      </c>
      <c r="K152" s="2">
        <f t="shared" si="4"/>
        <v>5.3</v>
      </c>
      <c r="L152" s="2">
        <f t="shared" si="5"/>
        <v>3.8</v>
      </c>
      <c r="M152">
        <v>4.7699999999999996</v>
      </c>
      <c r="N152" s="2">
        <v>659399.29700000002</v>
      </c>
      <c r="O152" s="2">
        <v>440186.80699999997</v>
      </c>
      <c r="P152" s="2">
        <v>7425.6180000000004</v>
      </c>
      <c r="Q152" s="2">
        <v>102357.371</v>
      </c>
      <c r="R152" s="2">
        <v>65171.892</v>
      </c>
      <c r="S152" s="2">
        <v>263452.00799999997</v>
      </c>
      <c r="T152" s="2">
        <v>46689.288999999997</v>
      </c>
      <c r="U152" s="2">
        <f>SUM(bs_rates_ovt[[#This Row],[deposits_overnight]:[other_funding]])</f>
        <v>1584682.2820000001</v>
      </c>
    </row>
    <row r="153" spans="1:21">
      <c r="A153" s="1">
        <v>42948</v>
      </c>
      <c r="B153">
        <v>29559.083999999999</v>
      </c>
      <c r="C153">
        <v>478161.83799999999</v>
      </c>
      <c r="D153">
        <v>286594.55</v>
      </c>
      <c r="E153">
        <v>28708.508000000002</v>
      </c>
      <c r="F153">
        <v>80926.869000000006</v>
      </c>
      <c r="G153" s="3">
        <v>1075790.152</v>
      </c>
      <c r="H153">
        <v>1979741.0009999999</v>
      </c>
      <c r="I153" s="2">
        <v>1.72888888888889</v>
      </c>
      <c r="J153" s="2">
        <v>3.33</v>
      </c>
      <c r="K153" s="2">
        <f t="shared" si="4"/>
        <v>5.33</v>
      </c>
      <c r="L153" s="2">
        <f t="shared" si="5"/>
        <v>3.83</v>
      </c>
      <c r="M153">
        <v>4.75</v>
      </c>
      <c r="N153" s="2">
        <v>664263.11699999997</v>
      </c>
      <c r="O153" s="2">
        <v>441481.603</v>
      </c>
      <c r="P153" s="2">
        <v>5292.22</v>
      </c>
      <c r="Q153" s="2">
        <v>99817.43</v>
      </c>
      <c r="R153" s="2">
        <v>67812.976999999999</v>
      </c>
      <c r="S153" s="2">
        <v>257146.239</v>
      </c>
      <c r="T153" s="2">
        <v>43717.2</v>
      </c>
      <c r="U153" s="2">
        <f>SUM(bs_rates_ovt[[#This Row],[deposits_overnight]:[other_funding]])</f>
        <v>1579530.7859999998</v>
      </c>
    </row>
    <row r="154" spans="1:21">
      <c r="A154" s="1">
        <v>42979</v>
      </c>
      <c r="B154">
        <v>26325.666000000001</v>
      </c>
      <c r="C154">
        <v>491806.97499999998</v>
      </c>
      <c r="D154">
        <v>285782.13400000002</v>
      </c>
      <c r="E154">
        <v>28181.593000000001</v>
      </c>
      <c r="F154">
        <v>81196.986000000004</v>
      </c>
      <c r="G154" s="3">
        <v>1084890.923</v>
      </c>
      <c r="H154">
        <v>1998184.277</v>
      </c>
      <c r="I154" s="2">
        <v>1.7277777777777799</v>
      </c>
      <c r="J154" s="2">
        <v>3.26</v>
      </c>
      <c r="K154" s="2">
        <f t="shared" si="4"/>
        <v>5.26</v>
      </c>
      <c r="L154" s="2">
        <f t="shared" si="5"/>
        <v>3.76</v>
      </c>
      <c r="M154">
        <v>4.78</v>
      </c>
      <c r="N154" s="2">
        <v>663562.71499999997</v>
      </c>
      <c r="O154" s="2">
        <v>447269.33299999998</v>
      </c>
      <c r="P154" s="2">
        <v>4418.2709999999997</v>
      </c>
      <c r="Q154" s="2">
        <v>98999.846000000005</v>
      </c>
      <c r="R154" s="2">
        <v>69976.877999999997</v>
      </c>
      <c r="S154" s="2">
        <v>264653.10800000001</v>
      </c>
      <c r="T154" s="2">
        <v>44072.341</v>
      </c>
      <c r="U154" s="2">
        <f>SUM(bs_rates_ovt[[#This Row],[deposits_overnight]:[other_funding]])</f>
        <v>1592952.4919999999</v>
      </c>
    </row>
    <row r="155" spans="1:21">
      <c r="A155" s="1">
        <v>43009</v>
      </c>
      <c r="B155">
        <v>27794.626</v>
      </c>
      <c r="C155">
        <v>497018.47600000002</v>
      </c>
      <c r="D155">
        <v>286706.44900000002</v>
      </c>
      <c r="E155">
        <v>28430.100999999999</v>
      </c>
      <c r="F155">
        <v>82232.914000000004</v>
      </c>
      <c r="G155" s="3">
        <v>1084301.443</v>
      </c>
      <c r="H155">
        <v>2006484.0090000001</v>
      </c>
      <c r="I155" s="2">
        <v>1.7266666666666699</v>
      </c>
      <c r="J155" s="2">
        <v>3.38</v>
      </c>
      <c r="K155" s="2">
        <f t="shared" si="4"/>
        <v>5.38</v>
      </c>
      <c r="L155" s="2">
        <f t="shared" si="5"/>
        <v>3.88</v>
      </c>
      <c r="M155">
        <v>4.7600000000000007</v>
      </c>
      <c r="N155" s="2">
        <v>676034.93500000006</v>
      </c>
      <c r="O155" s="2">
        <v>445979.98700000002</v>
      </c>
      <c r="P155" s="2">
        <v>5288.3289999999997</v>
      </c>
      <c r="Q155" s="2">
        <v>89191.368000000002</v>
      </c>
      <c r="R155" s="2">
        <v>76491.138000000006</v>
      </c>
      <c r="S155" s="2">
        <v>260028.14300000001</v>
      </c>
      <c r="T155" s="2">
        <v>47480.334999999999</v>
      </c>
      <c r="U155" s="2">
        <f>SUM(bs_rates_ovt[[#This Row],[deposits_overnight]:[other_funding]])</f>
        <v>1600494.2349999999</v>
      </c>
    </row>
    <row r="156" spans="1:21">
      <c r="A156" s="1">
        <v>43040</v>
      </c>
      <c r="B156">
        <v>33721.716</v>
      </c>
      <c r="C156">
        <v>490838.40399999998</v>
      </c>
      <c r="D156">
        <v>291937.41800000001</v>
      </c>
      <c r="E156">
        <v>28768.106</v>
      </c>
      <c r="F156">
        <v>82564.404999999999</v>
      </c>
      <c r="G156" s="3">
        <v>1085300.186</v>
      </c>
      <c r="H156">
        <v>2013130.2349999999</v>
      </c>
      <c r="I156" s="2">
        <v>1.7222222222222232</v>
      </c>
      <c r="J156" s="2">
        <v>3.39</v>
      </c>
      <c r="K156" s="2">
        <f t="shared" si="4"/>
        <v>5.3900000000000006</v>
      </c>
      <c r="L156" s="2">
        <f t="shared" si="5"/>
        <v>3.89</v>
      </c>
      <c r="M156">
        <v>4.78</v>
      </c>
      <c r="N156" s="2">
        <v>693571.98100000003</v>
      </c>
      <c r="O156" s="2">
        <v>436113.82500000001</v>
      </c>
      <c r="P156" s="2">
        <v>5937.5110000000004</v>
      </c>
      <c r="Q156" s="2">
        <v>82338.297000000006</v>
      </c>
      <c r="R156" s="2">
        <v>77266.369000000006</v>
      </c>
      <c r="S156" s="2">
        <v>261613.65900000001</v>
      </c>
      <c r="T156" s="2">
        <v>46862.328999999998</v>
      </c>
      <c r="U156" s="2">
        <f>SUM(bs_rates_ovt[[#This Row],[deposits_overnight]:[other_funding]])</f>
        <v>1603703.9709999999</v>
      </c>
    </row>
    <row r="157" spans="1:21">
      <c r="A157" s="1">
        <v>43070</v>
      </c>
      <c r="B157">
        <v>25730.721000000001</v>
      </c>
      <c r="C157">
        <v>483803.67499999999</v>
      </c>
      <c r="D157">
        <v>286280.35200000001</v>
      </c>
      <c r="E157">
        <v>28437.228999999999</v>
      </c>
      <c r="F157">
        <v>85723.349000000002</v>
      </c>
      <c r="G157" s="3">
        <v>1082451.9890000001</v>
      </c>
      <c r="H157">
        <v>1992427.3150000002</v>
      </c>
      <c r="I157" s="2">
        <v>1.7177777777777767</v>
      </c>
      <c r="J157" s="2">
        <v>3.27</v>
      </c>
      <c r="K157" s="2">
        <f t="shared" si="4"/>
        <v>5.27</v>
      </c>
      <c r="L157" s="2">
        <f t="shared" si="5"/>
        <v>3.77</v>
      </c>
      <c r="M157">
        <v>4.7300000000000004</v>
      </c>
      <c r="N157" s="2">
        <v>721888.16200000001</v>
      </c>
      <c r="O157" s="2">
        <v>432256.41700000002</v>
      </c>
      <c r="P157" s="2">
        <v>6478.3059999999996</v>
      </c>
      <c r="Q157" s="2">
        <v>49175.887000000002</v>
      </c>
      <c r="R157" s="2">
        <v>78206.75</v>
      </c>
      <c r="S157" s="2">
        <v>251275.55600000001</v>
      </c>
      <c r="T157" s="2">
        <v>55179.529000000002</v>
      </c>
      <c r="U157" s="2">
        <f>SUM(bs_rates_ovt[[#This Row],[deposits_overnight]:[other_funding]])</f>
        <v>1594460.6070000003</v>
      </c>
    </row>
    <row r="158" spans="1:21">
      <c r="A158" s="1">
        <v>43101</v>
      </c>
      <c r="B158">
        <v>41416.769999999997</v>
      </c>
      <c r="C158">
        <v>479190.03600000002</v>
      </c>
      <c r="D158">
        <v>291761.842</v>
      </c>
      <c r="E158">
        <v>28195.392</v>
      </c>
      <c r="F158">
        <v>86250.077999999994</v>
      </c>
      <c r="G158" s="3">
        <v>1086937.297</v>
      </c>
      <c r="H158">
        <v>2013751.415</v>
      </c>
      <c r="I158" s="2">
        <v>1.71333333333333</v>
      </c>
      <c r="J158" s="2">
        <v>3.32</v>
      </c>
      <c r="K158" s="2">
        <f t="shared" si="4"/>
        <v>5.32</v>
      </c>
      <c r="L158" s="2">
        <f t="shared" si="5"/>
        <v>3.82</v>
      </c>
      <c r="M158">
        <v>4.75</v>
      </c>
      <c r="N158" s="2">
        <v>704602.96499999997</v>
      </c>
      <c r="O158" s="2">
        <v>436241.40700000001</v>
      </c>
      <c r="P158" s="2">
        <v>8363.1630000000005</v>
      </c>
      <c r="Q158" s="2">
        <v>87464.672000000006</v>
      </c>
      <c r="R158" s="2">
        <v>76579.611999999994</v>
      </c>
      <c r="S158" s="2">
        <v>246062.783</v>
      </c>
      <c r="T158" s="2">
        <v>52050.752</v>
      </c>
      <c r="U158" s="2">
        <f>SUM(bs_rates_ovt[[#This Row],[deposits_overnight]:[other_funding]])</f>
        <v>1611365.3540000001</v>
      </c>
    </row>
    <row r="159" spans="1:21">
      <c r="A159" s="1">
        <v>43132</v>
      </c>
      <c r="B159">
        <v>36681.561000000002</v>
      </c>
      <c r="C159">
        <v>481276.03600000002</v>
      </c>
      <c r="D159">
        <v>300670.549</v>
      </c>
      <c r="E159">
        <v>27193.530999999999</v>
      </c>
      <c r="F159">
        <v>86145.903999999995</v>
      </c>
      <c r="G159" s="3">
        <v>1095527.577</v>
      </c>
      <c r="H159">
        <v>2027495.1579999998</v>
      </c>
      <c r="I159" s="2">
        <v>1.7088888888888867</v>
      </c>
      <c r="J159" s="2">
        <v>3.39</v>
      </c>
      <c r="K159" s="2">
        <f t="shared" si="4"/>
        <v>5.3900000000000006</v>
      </c>
      <c r="L159" s="2">
        <f t="shared" si="5"/>
        <v>3.89</v>
      </c>
      <c r="M159">
        <v>4.83</v>
      </c>
      <c r="N159" s="2">
        <v>709966.60400000005</v>
      </c>
      <c r="O159" s="2">
        <v>437317.16100000002</v>
      </c>
      <c r="P159" s="2">
        <v>7491.8620000000001</v>
      </c>
      <c r="Q159" s="2">
        <v>96523.398000000001</v>
      </c>
      <c r="R159" s="2">
        <v>74740.838000000003</v>
      </c>
      <c r="S159" s="2">
        <v>243210.49799999999</v>
      </c>
      <c r="T159" s="2">
        <v>52151.682000000001</v>
      </c>
      <c r="U159" s="2">
        <f>SUM(bs_rates_ovt[[#This Row],[deposits_overnight]:[other_funding]])</f>
        <v>1621402.0430000001</v>
      </c>
    </row>
    <row r="160" spans="1:21">
      <c r="A160" s="1">
        <v>43160</v>
      </c>
      <c r="B160">
        <v>37711.076999999997</v>
      </c>
      <c r="C160">
        <v>495944.67300000001</v>
      </c>
      <c r="D160">
        <v>306208.84100000001</v>
      </c>
      <c r="E160">
        <v>26967.621999999999</v>
      </c>
      <c r="F160">
        <v>85586.474000000002</v>
      </c>
      <c r="G160" s="3">
        <v>1100031.7390000001</v>
      </c>
      <c r="H160">
        <v>2052450.426</v>
      </c>
      <c r="I160" s="2">
        <v>1.7044444444444433</v>
      </c>
      <c r="J160" s="2">
        <v>3.27</v>
      </c>
      <c r="K160" s="2">
        <f t="shared" si="4"/>
        <v>5.27</v>
      </c>
      <c r="L160" s="2">
        <f t="shared" si="5"/>
        <v>3.77</v>
      </c>
      <c r="M160">
        <v>4.74</v>
      </c>
      <c r="N160" s="2">
        <v>704223.48400000005</v>
      </c>
      <c r="O160" s="2">
        <v>446097.86</v>
      </c>
      <c r="P160" s="2">
        <v>10605.226000000001</v>
      </c>
      <c r="Q160" s="2">
        <v>97552.523000000001</v>
      </c>
      <c r="R160" s="2">
        <v>77600.703999999998</v>
      </c>
      <c r="S160" s="2">
        <v>251304.20699999999</v>
      </c>
      <c r="T160" s="2">
        <v>52856.555999999997</v>
      </c>
      <c r="U160" s="2">
        <f>SUM(bs_rates_ovt[[#This Row],[deposits_overnight]:[other_funding]])</f>
        <v>1640240.56</v>
      </c>
    </row>
    <row r="161" spans="1:21">
      <c r="A161" s="1">
        <v>43191</v>
      </c>
      <c r="B161">
        <v>37074.665000000001</v>
      </c>
      <c r="C161">
        <v>488533.60100000002</v>
      </c>
      <c r="D161">
        <v>297604.70400000003</v>
      </c>
      <c r="E161">
        <v>26164.191999999999</v>
      </c>
      <c r="F161">
        <v>85201.796000000002</v>
      </c>
      <c r="G161" s="3">
        <v>1104627.6810000001</v>
      </c>
      <c r="H161">
        <v>2039206.6390000002</v>
      </c>
      <c r="I161" s="2">
        <v>1.7</v>
      </c>
      <c r="J161" s="2">
        <v>3.06</v>
      </c>
      <c r="K161" s="2">
        <f t="shared" si="4"/>
        <v>5.0600000000000005</v>
      </c>
      <c r="L161" s="2">
        <f t="shared" si="5"/>
        <v>3.56</v>
      </c>
      <c r="M161">
        <v>4.7699999999999996</v>
      </c>
      <c r="N161" s="2">
        <v>710918.15899999999</v>
      </c>
      <c r="O161" s="2">
        <v>439378.50699999998</v>
      </c>
      <c r="P161" s="2">
        <v>10900.607</v>
      </c>
      <c r="Q161" s="2">
        <v>93393.703999999998</v>
      </c>
      <c r="R161" s="2">
        <v>81453.334000000003</v>
      </c>
      <c r="S161" s="2">
        <v>232246.095</v>
      </c>
      <c r="T161" s="2">
        <v>55185.695</v>
      </c>
      <c r="U161" s="2">
        <f>SUM(bs_rates_ovt[[#This Row],[deposits_overnight]:[other_funding]])</f>
        <v>1623476.101</v>
      </c>
    </row>
    <row r="162" spans="1:21">
      <c r="A162" s="1">
        <v>43221</v>
      </c>
      <c r="B162">
        <v>36866.875</v>
      </c>
      <c r="C162">
        <v>512847.71100000001</v>
      </c>
      <c r="D162">
        <v>305993.20699999999</v>
      </c>
      <c r="E162">
        <v>25965.406999999999</v>
      </c>
      <c r="F162">
        <v>85656.441999999995</v>
      </c>
      <c r="G162" s="3">
        <v>1123162.4069999999</v>
      </c>
      <c r="H162">
        <v>2090492.0490000001</v>
      </c>
      <c r="I162" s="2">
        <v>1.7033333333333334</v>
      </c>
      <c r="J162" s="2">
        <v>3.23</v>
      </c>
      <c r="K162" s="2">
        <f t="shared" si="4"/>
        <v>5.23</v>
      </c>
      <c r="L162" s="2">
        <f t="shared" si="5"/>
        <v>3.73</v>
      </c>
      <c r="M162">
        <v>4.7300000000000004</v>
      </c>
      <c r="N162" s="2">
        <v>720669.12600000005</v>
      </c>
      <c r="O162" s="2">
        <v>444957.75699999998</v>
      </c>
      <c r="P162" s="2">
        <v>10421.781000000001</v>
      </c>
      <c r="Q162" s="2">
        <v>95828.755999999994</v>
      </c>
      <c r="R162" s="2">
        <v>82323.437000000005</v>
      </c>
      <c r="S162" s="2">
        <v>243087.22700000001</v>
      </c>
      <c r="T162" s="2">
        <v>56420.601999999999</v>
      </c>
      <c r="U162" s="2">
        <f>SUM(bs_rates_ovt[[#This Row],[deposits_overnight]:[other_funding]])</f>
        <v>1653708.6859999998</v>
      </c>
    </row>
    <row r="163" spans="1:21">
      <c r="A163" s="1">
        <v>43252</v>
      </c>
      <c r="B163">
        <v>34851.438000000002</v>
      </c>
      <c r="C163">
        <v>509771.163</v>
      </c>
      <c r="D163">
        <v>306929.25799999997</v>
      </c>
      <c r="E163">
        <v>25049.437000000002</v>
      </c>
      <c r="F163">
        <v>87304.816999999995</v>
      </c>
      <c r="G163" s="3">
        <v>1130076.571</v>
      </c>
      <c r="H163">
        <v>2093982.6839999999</v>
      </c>
      <c r="I163" s="2">
        <v>1.7066666666666666</v>
      </c>
      <c r="J163" s="2">
        <v>3.21</v>
      </c>
      <c r="K163" s="2">
        <f t="shared" si="4"/>
        <v>5.21</v>
      </c>
      <c r="L163" s="2">
        <f t="shared" si="5"/>
        <v>3.71</v>
      </c>
      <c r="M163">
        <v>4.78</v>
      </c>
      <c r="N163" s="2">
        <v>727283.72199999995</v>
      </c>
      <c r="O163" s="2">
        <v>442984.587</v>
      </c>
      <c r="P163" s="2">
        <v>7829.6</v>
      </c>
      <c r="Q163" s="2">
        <v>86949.202000000005</v>
      </c>
      <c r="R163" s="2">
        <v>87194.995999999999</v>
      </c>
      <c r="S163" s="2">
        <v>243536.774</v>
      </c>
      <c r="T163" s="2">
        <v>58569.455999999998</v>
      </c>
      <c r="U163" s="2">
        <f>SUM(bs_rates_ovt[[#This Row],[deposits_overnight]:[other_funding]])</f>
        <v>1654348.3370000001</v>
      </c>
    </row>
    <row r="164" spans="1:21">
      <c r="A164" s="1">
        <v>43282</v>
      </c>
      <c r="B164">
        <v>27880.120999999999</v>
      </c>
      <c r="C164">
        <v>505550.99900000001</v>
      </c>
      <c r="D164">
        <v>301670.29700000002</v>
      </c>
      <c r="E164">
        <v>24798.544999999998</v>
      </c>
      <c r="F164">
        <v>88336.947</v>
      </c>
      <c r="G164" s="3">
        <v>1132053.0660000001</v>
      </c>
      <c r="H164">
        <v>2080289.9750000001</v>
      </c>
      <c r="I164" s="2">
        <v>1.71</v>
      </c>
      <c r="J164" s="2">
        <v>3.17</v>
      </c>
      <c r="K164" s="2">
        <f t="shared" si="4"/>
        <v>5.17</v>
      </c>
      <c r="L164" s="2">
        <f t="shared" si="5"/>
        <v>3.67</v>
      </c>
      <c r="M164">
        <v>4.74</v>
      </c>
      <c r="N164" s="2">
        <v>735591.12300000002</v>
      </c>
      <c r="O164" s="2">
        <v>437541.87199999997</v>
      </c>
      <c r="P164" s="2">
        <v>7876.5640000000003</v>
      </c>
      <c r="Q164" s="2">
        <v>77904.357000000004</v>
      </c>
      <c r="R164" s="2">
        <v>88515.650999999998</v>
      </c>
      <c r="S164" s="2">
        <v>245392.86</v>
      </c>
      <c r="T164" s="2">
        <v>58337.097000000002</v>
      </c>
      <c r="U164" s="2">
        <f>SUM(bs_rates_ovt[[#This Row],[deposits_overnight]:[other_funding]])</f>
        <v>1651159.5240000002</v>
      </c>
    </row>
    <row r="165" spans="1:21">
      <c r="A165" s="1">
        <v>43313</v>
      </c>
      <c r="B165">
        <v>28395.237000000001</v>
      </c>
      <c r="C165">
        <v>515825.18400000001</v>
      </c>
      <c r="D165">
        <v>302835.58299999998</v>
      </c>
      <c r="E165">
        <v>24752.707999999999</v>
      </c>
      <c r="F165">
        <v>90781.928</v>
      </c>
      <c r="G165" s="3">
        <v>1141027.706</v>
      </c>
      <c r="H165">
        <v>2103618.3459999999</v>
      </c>
      <c r="I165" s="2">
        <v>1.7133333333333334</v>
      </c>
      <c r="J165" s="2">
        <v>3.14</v>
      </c>
      <c r="K165" s="2">
        <f t="shared" si="4"/>
        <v>5.1400000000000006</v>
      </c>
      <c r="L165" s="2">
        <f t="shared" si="5"/>
        <v>3.64</v>
      </c>
      <c r="M165">
        <v>4.7300000000000004</v>
      </c>
      <c r="N165" s="2">
        <v>740040.41099999996</v>
      </c>
      <c r="O165" s="2">
        <v>441697.09600000002</v>
      </c>
      <c r="P165" s="2">
        <v>6881.0820000000003</v>
      </c>
      <c r="Q165" s="2">
        <v>82041.862999999998</v>
      </c>
      <c r="R165" s="2">
        <v>87838.173999999999</v>
      </c>
      <c r="S165" s="2">
        <v>251730.41899999999</v>
      </c>
      <c r="T165" s="2">
        <v>59256.273999999998</v>
      </c>
      <c r="U165" s="2">
        <f>SUM(bs_rates_ovt[[#This Row],[deposits_overnight]:[other_funding]])</f>
        <v>1669485.3189999997</v>
      </c>
    </row>
    <row r="166" spans="1:21">
      <c r="A166" s="1">
        <v>43344</v>
      </c>
      <c r="B166">
        <v>28714.992999999999</v>
      </c>
      <c r="C166">
        <v>516338.55800000002</v>
      </c>
      <c r="D166">
        <v>311156.15299999999</v>
      </c>
      <c r="E166">
        <v>24754.227999999999</v>
      </c>
      <c r="F166">
        <v>92229.131999999998</v>
      </c>
      <c r="G166" s="3">
        <v>1148099.1059999999</v>
      </c>
      <c r="H166">
        <v>2121292.17</v>
      </c>
      <c r="I166" s="2">
        <v>1.7166666666666666</v>
      </c>
      <c r="J166" s="2">
        <v>3.24</v>
      </c>
      <c r="K166" s="2">
        <f t="shared" si="4"/>
        <v>5.24</v>
      </c>
      <c r="L166" s="2">
        <f t="shared" si="5"/>
        <v>3.74</v>
      </c>
      <c r="M166">
        <v>4.78</v>
      </c>
      <c r="N166" s="2">
        <v>746537.09299999999</v>
      </c>
      <c r="O166" s="2">
        <v>440104.32199999999</v>
      </c>
      <c r="P166" s="2">
        <v>10921.11</v>
      </c>
      <c r="Q166" s="2">
        <v>83929.495999999999</v>
      </c>
      <c r="R166" s="2">
        <v>91848.383000000002</v>
      </c>
      <c r="S166" s="2">
        <v>250424.43100000001</v>
      </c>
      <c r="T166" s="2">
        <v>63215.082000000002</v>
      </c>
      <c r="U166" s="2">
        <f>SUM(bs_rates_ovt[[#This Row],[deposits_overnight]:[other_funding]])</f>
        <v>1686979.9170000001</v>
      </c>
    </row>
    <row r="167" spans="1:21">
      <c r="A167" s="1">
        <v>43374</v>
      </c>
      <c r="B167">
        <v>28427.728999999999</v>
      </c>
      <c r="C167">
        <v>543079.11499999999</v>
      </c>
      <c r="D167">
        <v>307077.13799999998</v>
      </c>
      <c r="E167">
        <v>24830.151999999998</v>
      </c>
      <c r="F167">
        <v>82908.831999999995</v>
      </c>
      <c r="G167" s="3">
        <v>1156369.324</v>
      </c>
      <c r="H167">
        <v>2142692.29</v>
      </c>
      <c r="I167" s="2">
        <v>1.72</v>
      </c>
      <c r="J167" s="2">
        <v>3.22</v>
      </c>
      <c r="K167" s="2">
        <f t="shared" si="4"/>
        <v>5.2200000000000006</v>
      </c>
      <c r="L167" s="2">
        <f t="shared" si="5"/>
        <v>3.72</v>
      </c>
      <c r="M167">
        <v>4.7300000000000004</v>
      </c>
      <c r="N167" s="2">
        <v>757638.16899999999</v>
      </c>
      <c r="O167" s="2">
        <v>448786.08100000001</v>
      </c>
      <c r="P167" s="2">
        <v>8080.0649999999996</v>
      </c>
      <c r="Q167" s="2">
        <v>92128.061000000002</v>
      </c>
      <c r="R167" s="2">
        <v>83610.909</v>
      </c>
      <c r="S167" s="2">
        <v>256879.989</v>
      </c>
      <c r="T167" s="2">
        <v>51631.478000000003</v>
      </c>
      <c r="U167" s="2">
        <f>SUM(bs_rates_ovt[[#This Row],[deposits_overnight]:[other_funding]])</f>
        <v>1698754.7519999999</v>
      </c>
    </row>
    <row r="168" spans="1:21">
      <c r="A168" s="1">
        <v>43405</v>
      </c>
      <c r="B168">
        <v>26400.082999999999</v>
      </c>
      <c r="C168">
        <v>543986.76399999997</v>
      </c>
      <c r="D168">
        <v>309045.91600000003</v>
      </c>
      <c r="E168">
        <v>25194.992999999999</v>
      </c>
      <c r="F168">
        <v>83649.012000000002</v>
      </c>
      <c r="G168" s="3">
        <v>1160361.3870000001</v>
      </c>
      <c r="H168">
        <v>2148638.1550000003</v>
      </c>
      <c r="I168" s="2">
        <v>1.72</v>
      </c>
      <c r="J168" s="2">
        <v>3.19</v>
      </c>
      <c r="K168" s="2">
        <f t="shared" si="4"/>
        <v>5.1899999999999995</v>
      </c>
      <c r="L168" s="2">
        <f t="shared" si="5"/>
        <v>3.69</v>
      </c>
      <c r="M168">
        <v>4.7699999999999996</v>
      </c>
      <c r="N168" s="2">
        <v>773500.91399999999</v>
      </c>
      <c r="O168" s="2">
        <v>446332.15899999999</v>
      </c>
      <c r="P168" s="2">
        <v>8326.7669999999998</v>
      </c>
      <c r="Q168" s="2">
        <v>86543.264999999999</v>
      </c>
      <c r="R168" s="2">
        <v>81889.37</v>
      </c>
      <c r="S168" s="2">
        <v>256595.3</v>
      </c>
      <c r="T168" s="2">
        <v>49161.101000000002</v>
      </c>
      <c r="U168" s="2">
        <f>SUM(bs_rates_ovt[[#This Row],[deposits_overnight]:[other_funding]])</f>
        <v>1702348.8759999997</v>
      </c>
    </row>
    <row r="169" spans="1:21">
      <c r="A169" s="1">
        <v>43435</v>
      </c>
      <c r="B169">
        <v>24990.598000000002</v>
      </c>
      <c r="C169">
        <v>544418.86800000002</v>
      </c>
      <c r="D169">
        <v>314822.98800000001</v>
      </c>
      <c r="E169">
        <v>26083.703000000001</v>
      </c>
      <c r="F169">
        <v>87647.407000000007</v>
      </c>
      <c r="G169" s="3">
        <v>1163300.3030000001</v>
      </c>
      <c r="H169">
        <v>2161263.8670000001</v>
      </c>
      <c r="I169" s="2">
        <v>1.72</v>
      </c>
      <c r="J169" s="2">
        <v>2.94</v>
      </c>
      <c r="K169" s="2">
        <f t="shared" si="4"/>
        <v>4.9399999999999995</v>
      </c>
      <c r="L169" s="2">
        <f t="shared" si="5"/>
        <v>3.44</v>
      </c>
      <c r="M169">
        <v>4.7300000000000004</v>
      </c>
      <c r="N169" s="2">
        <v>809140.58499999996</v>
      </c>
      <c r="O169" s="2">
        <v>441555.91100000002</v>
      </c>
      <c r="P169" s="2">
        <v>11239.601000000001</v>
      </c>
      <c r="Q169" s="2">
        <v>65928.032000000007</v>
      </c>
      <c r="R169" s="2">
        <v>83614.042000000001</v>
      </c>
      <c r="S169" s="2">
        <v>254140.88200000001</v>
      </c>
      <c r="T169" s="2">
        <v>54096.538999999997</v>
      </c>
      <c r="U169" s="2">
        <f>SUM(bs_rates_ovt[[#This Row],[deposits_overnight]:[other_funding]])</f>
        <v>1719715.5920000002</v>
      </c>
    </row>
    <row r="170" spans="1:21">
      <c r="A170" s="1">
        <v>43466</v>
      </c>
      <c r="B170">
        <v>25247.195</v>
      </c>
      <c r="C170">
        <v>528548.63199999998</v>
      </c>
      <c r="D170">
        <v>327806.16200000001</v>
      </c>
      <c r="E170">
        <v>25266.48</v>
      </c>
      <c r="F170">
        <v>86349.842000000004</v>
      </c>
      <c r="G170" s="3">
        <v>1165711.716</v>
      </c>
      <c r="H170">
        <v>2158930.0269999998</v>
      </c>
      <c r="I170" s="2">
        <v>1.72</v>
      </c>
      <c r="J170" s="2">
        <v>2.78</v>
      </c>
      <c r="K170" s="2">
        <f t="shared" si="4"/>
        <v>4.7799999999999994</v>
      </c>
      <c r="L170" s="2">
        <f t="shared" si="5"/>
        <v>3.28</v>
      </c>
      <c r="M170">
        <v>4.74</v>
      </c>
      <c r="N170" s="2">
        <v>785591.65</v>
      </c>
      <c r="O170" s="2">
        <v>449651.50300000003</v>
      </c>
      <c r="P170" s="2">
        <v>7637.3869999999997</v>
      </c>
      <c r="Q170" s="2">
        <v>91905.495999999999</v>
      </c>
      <c r="R170" s="2">
        <v>87043.769</v>
      </c>
      <c r="S170" s="2">
        <v>236759.859</v>
      </c>
      <c r="T170" s="2">
        <v>60759.152000000002</v>
      </c>
      <c r="U170" s="2">
        <f>SUM(bs_rates_ovt[[#This Row],[deposits_overnight]:[other_funding]])</f>
        <v>1719348.8160000001</v>
      </c>
    </row>
    <row r="171" spans="1:21">
      <c r="A171" s="1">
        <v>43497</v>
      </c>
      <c r="B171">
        <v>24892.562999999998</v>
      </c>
      <c r="C171">
        <v>525678.10199999996</v>
      </c>
      <c r="D171">
        <v>339482.902</v>
      </c>
      <c r="E171">
        <v>25140.167000000001</v>
      </c>
      <c r="F171">
        <v>86250.668000000005</v>
      </c>
      <c r="G171" s="3">
        <v>1176421.4080000001</v>
      </c>
      <c r="H171">
        <v>2177865.81</v>
      </c>
      <c r="I171" s="2">
        <v>1.72</v>
      </c>
      <c r="J171" s="2">
        <v>2.69</v>
      </c>
      <c r="K171" s="2">
        <f t="shared" si="4"/>
        <v>4.6899999999999995</v>
      </c>
      <c r="L171" s="2">
        <f t="shared" si="5"/>
        <v>3.19</v>
      </c>
      <c r="M171">
        <v>4.84</v>
      </c>
      <c r="N171" s="2">
        <v>797665.63800000004</v>
      </c>
      <c r="O171" s="2">
        <v>454550.07400000002</v>
      </c>
      <c r="P171" s="2">
        <v>5945.4970000000003</v>
      </c>
      <c r="Q171" s="2">
        <v>87565.241999999998</v>
      </c>
      <c r="R171" s="2">
        <v>88935.103000000003</v>
      </c>
      <c r="S171" s="2">
        <v>234950.46799999999</v>
      </c>
      <c r="T171" s="2">
        <v>61732.991999999998</v>
      </c>
      <c r="U171" s="2">
        <f>SUM(bs_rates_ovt[[#This Row],[deposits_overnight]:[other_funding]])</f>
        <v>1731345.014</v>
      </c>
    </row>
    <row r="172" spans="1:21">
      <c r="A172" s="1">
        <v>43525</v>
      </c>
      <c r="B172">
        <v>25992.636999999999</v>
      </c>
      <c r="C172">
        <v>536090.897</v>
      </c>
      <c r="D172">
        <v>346177.24099999998</v>
      </c>
      <c r="E172">
        <v>23822.918000000001</v>
      </c>
      <c r="F172">
        <v>86082.335000000006</v>
      </c>
      <c r="G172" s="3">
        <v>1188248.0819999999</v>
      </c>
      <c r="H172">
        <v>2206414.11</v>
      </c>
      <c r="I172" s="2">
        <v>1.72</v>
      </c>
      <c r="J172" s="2">
        <v>2.75</v>
      </c>
      <c r="K172" s="2">
        <f t="shared" si="4"/>
        <v>4.75</v>
      </c>
      <c r="L172" s="2">
        <f t="shared" si="5"/>
        <v>3.25</v>
      </c>
      <c r="M172">
        <v>4.74</v>
      </c>
      <c r="N172" s="2">
        <v>802122.05</v>
      </c>
      <c r="O172" s="2">
        <v>458444.13199999998</v>
      </c>
      <c r="P172" s="2">
        <v>6963.848</v>
      </c>
      <c r="Q172" s="2">
        <v>97714.354000000007</v>
      </c>
      <c r="R172" s="2">
        <v>90310.565000000002</v>
      </c>
      <c r="S172" s="2">
        <v>232614.39799999999</v>
      </c>
      <c r="T172" s="2">
        <v>65422.091</v>
      </c>
      <c r="U172" s="2">
        <f>SUM(bs_rates_ovt[[#This Row],[deposits_overnight]:[other_funding]])</f>
        <v>1753591.4380000001</v>
      </c>
    </row>
    <row r="173" spans="1:21">
      <c r="A173" s="1">
        <v>43556</v>
      </c>
      <c r="B173">
        <v>26304.001</v>
      </c>
      <c r="C173">
        <v>556217.44999999995</v>
      </c>
      <c r="D173">
        <v>348058.62800000003</v>
      </c>
      <c r="E173">
        <v>24160.048999999999</v>
      </c>
      <c r="F173">
        <v>85559.146999999997</v>
      </c>
      <c r="G173" s="3">
        <v>1188532.024</v>
      </c>
      <c r="H173">
        <v>2228831.2990000001</v>
      </c>
      <c r="I173" s="2">
        <v>1.72</v>
      </c>
      <c r="J173" s="2">
        <v>2.76</v>
      </c>
      <c r="K173" s="2">
        <f t="shared" si="4"/>
        <v>4.76</v>
      </c>
      <c r="L173" s="2">
        <f t="shared" si="5"/>
        <v>3.26</v>
      </c>
      <c r="M173">
        <v>4.78</v>
      </c>
      <c r="N173" s="2">
        <v>810084.28</v>
      </c>
      <c r="O173" s="2">
        <v>458463.49200000003</v>
      </c>
      <c r="P173" s="2">
        <v>6694.7340000000004</v>
      </c>
      <c r="Q173" s="2">
        <v>109721.073</v>
      </c>
      <c r="R173" s="2">
        <v>87383.726999999999</v>
      </c>
      <c r="S173" s="2">
        <v>237169.16</v>
      </c>
      <c r="T173" s="2">
        <v>64317.008000000002</v>
      </c>
      <c r="U173" s="2">
        <f>SUM(bs_rates_ovt[[#This Row],[deposits_overnight]:[other_funding]])</f>
        <v>1773833.4739999999</v>
      </c>
    </row>
    <row r="174" spans="1:21">
      <c r="A174" s="1">
        <v>43586</v>
      </c>
      <c r="B174">
        <v>27274.983</v>
      </c>
      <c r="C174">
        <v>567490.50600000005</v>
      </c>
      <c r="D174">
        <v>345625.68400000001</v>
      </c>
      <c r="E174">
        <v>24557.834999999999</v>
      </c>
      <c r="F174">
        <v>85575.421000000002</v>
      </c>
      <c r="G174" s="3">
        <v>1194877.1769999999</v>
      </c>
      <c r="H174">
        <v>2245401.6059999997</v>
      </c>
      <c r="I174" s="2">
        <v>1.72</v>
      </c>
      <c r="J174" s="2">
        <v>2.72</v>
      </c>
      <c r="K174" s="2">
        <f t="shared" si="4"/>
        <v>4.7200000000000006</v>
      </c>
      <c r="L174" s="2">
        <f t="shared" si="5"/>
        <v>3.22</v>
      </c>
      <c r="M174">
        <v>4.75</v>
      </c>
      <c r="N174" s="2">
        <v>821933.80599999998</v>
      </c>
      <c r="O174" s="2">
        <v>458196.07</v>
      </c>
      <c r="P174" s="2">
        <v>5637.9449999999997</v>
      </c>
      <c r="Q174" s="2">
        <v>103100.148</v>
      </c>
      <c r="R174" s="2">
        <v>91976.051000000007</v>
      </c>
      <c r="S174" s="2">
        <v>242042.80100000001</v>
      </c>
      <c r="T174" s="2">
        <v>65616.05</v>
      </c>
      <c r="U174" s="2">
        <f>SUM(bs_rates_ovt[[#This Row],[deposits_overnight]:[other_funding]])</f>
        <v>1788502.871</v>
      </c>
    </row>
    <row r="175" spans="1:21">
      <c r="A175" s="1">
        <v>43617</v>
      </c>
      <c r="B175">
        <v>28573.852999999999</v>
      </c>
      <c r="C175">
        <v>538332.46600000001</v>
      </c>
      <c r="D175">
        <v>348289.88099999999</v>
      </c>
      <c r="E175">
        <v>24333.03</v>
      </c>
      <c r="F175">
        <v>85196.591</v>
      </c>
      <c r="G175" s="3">
        <v>1204640.602</v>
      </c>
      <c r="H175">
        <v>2229366.423</v>
      </c>
      <c r="I175" s="2">
        <v>1.72</v>
      </c>
      <c r="J175" s="2">
        <v>2.35</v>
      </c>
      <c r="K175" s="2">
        <f t="shared" si="4"/>
        <v>4.3499999999999996</v>
      </c>
      <c r="L175" s="2">
        <f t="shared" si="5"/>
        <v>2.85</v>
      </c>
      <c r="M175">
        <v>4.7699999999999996</v>
      </c>
      <c r="N175" s="2">
        <v>831640.27599999995</v>
      </c>
      <c r="O175" s="2">
        <v>445846.10100000002</v>
      </c>
      <c r="P175" s="2">
        <v>5635.473</v>
      </c>
      <c r="Q175" s="2">
        <v>101535.17600000001</v>
      </c>
      <c r="R175" s="2">
        <v>92573.085000000006</v>
      </c>
      <c r="S175" s="2">
        <v>228016.38500000001</v>
      </c>
      <c r="T175" s="2">
        <v>70984.694000000003</v>
      </c>
      <c r="U175" s="2">
        <f>SUM(bs_rates_ovt[[#This Row],[deposits_overnight]:[other_funding]])</f>
        <v>1776231.1899999997</v>
      </c>
    </row>
    <row r="176" spans="1:21">
      <c r="A176" s="1">
        <v>43647</v>
      </c>
      <c r="B176">
        <v>26964.557000000001</v>
      </c>
      <c r="C176">
        <v>549803.68900000001</v>
      </c>
      <c r="D176">
        <v>345895.87800000003</v>
      </c>
      <c r="E176">
        <v>23631.522000000001</v>
      </c>
      <c r="F176">
        <v>85971.967999999993</v>
      </c>
      <c r="G176" s="3">
        <v>1215273.702</v>
      </c>
      <c r="H176">
        <v>2247541.3160000001</v>
      </c>
      <c r="I176" s="2">
        <v>1.72</v>
      </c>
      <c r="J176" s="2">
        <v>2.13</v>
      </c>
      <c r="K176" s="2">
        <f t="shared" si="4"/>
        <v>4.13</v>
      </c>
      <c r="L176" s="2">
        <f t="shared" si="5"/>
        <v>2.63</v>
      </c>
      <c r="M176">
        <v>4.74</v>
      </c>
      <c r="N176" s="2">
        <v>841822.73899999994</v>
      </c>
      <c r="O176" s="2">
        <v>446898.56400000001</v>
      </c>
      <c r="P176" s="2">
        <v>6951.9440000000004</v>
      </c>
      <c r="Q176" s="2">
        <v>102669.16800000001</v>
      </c>
      <c r="R176" s="2">
        <v>94355.32</v>
      </c>
      <c r="S176" s="2">
        <v>225470.25200000001</v>
      </c>
      <c r="T176" s="2">
        <v>64185.650999999998</v>
      </c>
      <c r="U176" s="2">
        <f>SUM(bs_rates_ovt[[#This Row],[deposits_overnight]:[other_funding]])</f>
        <v>1782353.638</v>
      </c>
    </row>
    <row r="177" spans="1:21">
      <c r="A177" s="1">
        <v>43678</v>
      </c>
      <c r="B177">
        <v>29394.888999999999</v>
      </c>
      <c r="C177">
        <v>570700.022</v>
      </c>
      <c r="D177">
        <v>346642.43900000001</v>
      </c>
      <c r="E177">
        <v>23542.241999999998</v>
      </c>
      <c r="F177">
        <v>85926.038</v>
      </c>
      <c r="G177" s="3">
        <v>1230378.014</v>
      </c>
      <c r="H177">
        <v>2286583.6439999999</v>
      </c>
      <c r="I177" s="2">
        <v>1.7166666666666666</v>
      </c>
      <c r="J177" s="2">
        <v>1.93</v>
      </c>
      <c r="K177" s="2">
        <f t="shared" si="4"/>
        <v>3.9299999999999997</v>
      </c>
      <c r="L177" s="2">
        <f t="shared" si="5"/>
        <v>2.4299999999999997</v>
      </c>
      <c r="M177">
        <v>4.74</v>
      </c>
      <c r="N177" s="2">
        <v>845416.11199999996</v>
      </c>
      <c r="O177" s="2">
        <v>451314.00099999999</v>
      </c>
      <c r="P177" s="2">
        <v>4867.3059999999996</v>
      </c>
      <c r="Q177" s="2">
        <v>103373.96400000001</v>
      </c>
      <c r="R177" s="2">
        <v>95337.558000000005</v>
      </c>
      <c r="S177" s="2">
        <v>234155.921</v>
      </c>
      <c r="T177" s="2">
        <v>66519.968999999997</v>
      </c>
      <c r="U177" s="2">
        <f>SUM(bs_rates_ovt[[#This Row],[deposits_overnight]:[other_funding]])</f>
        <v>1800984.831</v>
      </c>
    </row>
    <row r="178" spans="1:21">
      <c r="A178" s="1">
        <v>43709</v>
      </c>
      <c r="B178">
        <v>28565.615000000002</v>
      </c>
      <c r="C178">
        <v>594883.28300000005</v>
      </c>
      <c r="D178">
        <v>344333.34700000001</v>
      </c>
      <c r="E178">
        <v>23317.031999999999</v>
      </c>
      <c r="F178">
        <v>85903.603000000003</v>
      </c>
      <c r="G178" s="3">
        <v>1234534.102</v>
      </c>
      <c r="H178">
        <v>2311536.9819999998</v>
      </c>
      <c r="I178" s="2">
        <v>1.7133333333333334</v>
      </c>
      <c r="J178" s="2">
        <v>2.02</v>
      </c>
      <c r="K178" s="2">
        <f t="shared" si="4"/>
        <v>4.0199999999999996</v>
      </c>
      <c r="L178" s="2">
        <f t="shared" si="5"/>
        <v>2.52</v>
      </c>
      <c r="M178">
        <v>4.79</v>
      </c>
      <c r="N178" s="2">
        <v>861570.19900000002</v>
      </c>
      <c r="O178" s="2">
        <v>441452.41</v>
      </c>
      <c r="P178" s="2">
        <v>3578.777</v>
      </c>
      <c r="Q178" s="2">
        <v>102677.436</v>
      </c>
      <c r="R178" s="2">
        <v>94477.620999999999</v>
      </c>
      <c r="S178" s="2">
        <v>250413.54199999999</v>
      </c>
      <c r="T178" s="2">
        <v>67893.914000000004</v>
      </c>
      <c r="U178" s="2">
        <f>SUM(bs_rates_ovt[[#This Row],[deposits_overnight]:[other_funding]])</f>
        <v>1822063.899</v>
      </c>
    </row>
    <row r="179" spans="1:21">
      <c r="A179" s="1">
        <v>43739</v>
      </c>
      <c r="B179">
        <v>28180.327000000001</v>
      </c>
      <c r="C179">
        <v>574685.53200000001</v>
      </c>
      <c r="D179">
        <v>342220.27500000002</v>
      </c>
      <c r="E179">
        <v>22355.629000000001</v>
      </c>
      <c r="F179">
        <v>85454.942999999999</v>
      </c>
      <c r="G179" s="3">
        <v>1232558.848</v>
      </c>
      <c r="H179">
        <v>2285455.554</v>
      </c>
      <c r="I179" s="2">
        <v>1.71</v>
      </c>
      <c r="J179" s="2">
        <v>1.96</v>
      </c>
      <c r="K179" s="2">
        <f t="shared" si="4"/>
        <v>3.96</v>
      </c>
      <c r="L179" s="2">
        <f t="shared" si="5"/>
        <v>2.46</v>
      </c>
      <c r="M179">
        <v>4.74</v>
      </c>
      <c r="N179" s="2">
        <v>868190.54700000002</v>
      </c>
      <c r="O179" s="2">
        <v>450561.95</v>
      </c>
      <c r="P179" s="2">
        <v>5345.3029999999999</v>
      </c>
      <c r="Q179" s="2">
        <v>90638.692999999999</v>
      </c>
      <c r="R179" s="2">
        <v>94585.881999999998</v>
      </c>
      <c r="S179" s="2">
        <v>234364.402</v>
      </c>
      <c r="T179" s="2">
        <v>64635.510999999999</v>
      </c>
      <c r="U179" s="2">
        <f>SUM(bs_rates_ovt[[#This Row],[deposits_overnight]:[other_funding]])</f>
        <v>1808322.2879999999</v>
      </c>
    </row>
    <row r="180" spans="1:21">
      <c r="A180" s="1">
        <v>43770</v>
      </c>
      <c r="B180">
        <v>27052.427</v>
      </c>
      <c r="C180">
        <v>585074.33499999996</v>
      </c>
      <c r="D180">
        <v>349449.66899999999</v>
      </c>
      <c r="E180">
        <v>21956.013999999999</v>
      </c>
      <c r="F180">
        <v>85876.722999999998</v>
      </c>
      <c r="G180" s="3">
        <v>1235999.605</v>
      </c>
      <c r="H180">
        <v>2305408.773</v>
      </c>
      <c r="I180" s="2">
        <v>1.65</v>
      </c>
      <c r="J180" s="2">
        <v>2.0499999999999998</v>
      </c>
      <c r="K180" s="2">
        <f t="shared" si="4"/>
        <v>4.05</v>
      </c>
      <c r="L180" s="2">
        <f t="shared" si="5"/>
        <v>2.5499999999999998</v>
      </c>
      <c r="M180">
        <v>4.7699999999999996</v>
      </c>
      <c r="N180" s="2">
        <v>885464.929</v>
      </c>
      <c r="O180" s="2">
        <v>449733.283</v>
      </c>
      <c r="P180" s="2">
        <v>5553.6779999999999</v>
      </c>
      <c r="Q180" s="2">
        <v>77152.024000000005</v>
      </c>
      <c r="R180" s="2">
        <v>96112.547999999995</v>
      </c>
      <c r="S180" s="2">
        <v>238673.24900000001</v>
      </c>
      <c r="T180" s="2">
        <v>66113.771999999997</v>
      </c>
      <c r="U180" s="2">
        <f>SUM(bs_rates_ovt[[#This Row],[deposits_overnight]:[other_funding]])</f>
        <v>1818803.483</v>
      </c>
    </row>
    <row r="181" spans="1:21">
      <c r="A181" s="1">
        <v>43800</v>
      </c>
      <c r="B181">
        <v>25130.578000000001</v>
      </c>
      <c r="C181">
        <v>590794.62300000002</v>
      </c>
      <c r="D181">
        <v>355247.06199999998</v>
      </c>
      <c r="E181">
        <v>22801.205999999998</v>
      </c>
      <c r="F181">
        <v>88358.481</v>
      </c>
      <c r="G181" s="3">
        <v>1223801.277</v>
      </c>
      <c r="H181">
        <v>2306133.227</v>
      </c>
      <c r="I181" s="2">
        <v>1.59</v>
      </c>
      <c r="J181" s="2">
        <v>2.0299999999999998</v>
      </c>
      <c r="K181" s="2">
        <f t="shared" si="4"/>
        <v>4.0299999999999994</v>
      </c>
      <c r="L181" s="2">
        <f t="shared" si="5"/>
        <v>2.5299999999999998</v>
      </c>
      <c r="M181">
        <v>4.74</v>
      </c>
      <c r="N181" s="2">
        <v>930798.87</v>
      </c>
      <c r="O181" s="2">
        <v>426588.66200000001</v>
      </c>
      <c r="P181" s="2">
        <v>6809.41</v>
      </c>
      <c r="Q181" s="2">
        <v>63070.928999999996</v>
      </c>
      <c r="R181" s="2">
        <v>95040.055999999997</v>
      </c>
      <c r="S181" s="2">
        <v>245969.33600000001</v>
      </c>
      <c r="T181" s="2">
        <v>62172.108</v>
      </c>
      <c r="U181" s="2">
        <f>SUM(bs_rates_ovt[[#This Row],[deposits_overnight]:[other_funding]])</f>
        <v>1830449.3710000003</v>
      </c>
    </row>
    <row r="182" spans="1:21">
      <c r="A182" s="1">
        <v>43831</v>
      </c>
      <c r="B182">
        <v>27048.886999999999</v>
      </c>
      <c r="C182">
        <v>592591.23699999996</v>
      </c>
      <c r="D182">
        <v>360289.696</v>
      </c>
      <c r="E182">
        <v>22207.510999999999</v>
      </c>
      <c r="F182">
        <v>88093.5</v>
      </c>
      <c r="G182" s="3">
        <v>1239694.085</v>
      </c>
      <c r="H182">
        <v>2329924.9160000002</v>
      </c>
      <c r="I182" s="2">
        <v>1.53</v>
      </c>
      <c r="J182" s="2">
        <v>2.23</v>
      </c>
      <c r="K182" s="2">
        <f t="shared" si="4"/>
        <v>4.2300000000000004</v>
      </c>
      <c r="L182" s="2">
        <f t="shared" si="5"/>
        <v>2.73</v>
      </c>
      <c r="M182">
        <v>4.7300000000000004</v>
      </c>
      <c r="N182" s="2">
        <v>904987.43900000001</v>
      </c>
      <c r="O182" s="2">
        <v>449368.22899999999</v>
      </c>
      <c r="P182" s="2">
        <v>4855.3140000000003</v>
      </c>
      <c r="Q182" s="2">
        <v>90099.225999999995</v>
      </c>
      <c r="R182" s="2">
        <v>92978.725999999995</v>
      </c>
      <c r="S182" s="2">
        <v>234900.962</v>
      </c>
      <c r="T182" s="2">
        <v>64403.898999999998</v>
      </c>
      <c r="U182" s="2">
        <f>SUM(bs_rates_ovt[[#This Row],[deposits_overnight]:[other_funding]])</f>
        <v>1841593.7950000002</v>
      </c>
    </row>
    <row r="183" spans="1:21">
      <c r="A183" s="1">
        <v>43862</v>
      </c>
      <c r="B183">
        <v>32391.420999999998</v>
      </c>
      <c r="C183">
        <v>624857.28500000003</v>
      </c>
      <c r="D183">
        <v>361145.18</v>
      </c>
      <c r="E183">
        <v>22257.59</v>
      </c>
      <c r="F183">
        <v>87790.982999999993</v>
      </c>
      <c r="G183" s="3">
        <v>1240806.2919999999</v>
      </c>
      <c r="H183">
        <v>2369248.7509999997</v>
      </c>
      <c r="I183" s="2">
        <v>1.1555555555555557</v>
      </c>
      <c r="J183" s="2">
        <v>2.09</v>
      </c>
      <c r="K183" s="2">
        <f t="shared" si="4"/>
        <v>4.09</v>
      </c>
      <c r="L183" s="2">
        <f t="shared" si="5"/>
        <v>2.59</v>
      </c>
      <c r="M183">
        <v>4.78</v>
      </c>
      <c r="N183" s="2">
        <v>926379.52099999995</v>
      </c>
      <c r="O183" s="2">
        <v>446961.179</v>
      </c>
      <c r="P183" s="2">
        <v>4162.5309999999999</v>
      </c>
      <c r="Q183" s="2">
        <v>90551.495999999999</v>
      </c>
      <c r="R183" s="2">
        <v>92435.275999999998</v>
      </c>
      <c r="S183" s="2">
        <v>239081.12599999999</v>
      </c>
      <c r="T183" s="2">
        <v>69735.979000000007</v>
      </c>
      <c r="U183" s="2">
        <f>SUM(bs_rates_ovt[[#This Row],[deposits_overnight]:[other_funding]])</f>
        <v>1869307.108</v>
      </c>
    </row>
    <row r="184" spans="1:21">
      <c r="A184" s="1">
        <v>43891</v>
      </c>
      <c r="B184">
        <v>40275.794999999998</v>
      </c>
      <c r="C184">
        <v>635702.402</v>
      </c>
      <c r="D184">
        <v>404014.065</v>
      </c>
      <c r="E184">
        <v>22973.004000000001</v>
      </c>
      <c r="F184">
        <v>88798.623999999996</v>
      </c>
      <c r="G184" s="3">
        <v>1264769.28</v>
      </c>
      <c r="H184">
        <v>2456533.17</v>
      </c>
      <c r="I184" s="2">
        <v>0.78111111111111131</v>
      </c>
      <c r="J184" s="2">
        <v>1.8</v>
      </c>
      <c r="K184" s="2">
        <f t="shared" si="4"/>
        <v>3.8</v>
      </c>
      <c r="L184" s="2">
        <f t="shared" si="5"/>
        <v>2.2999999999999998</v>
      </c>
      <c r="M184">
        <v>4.67</v>
      </c>
      <c r="N184" s="2">
        <v>972219.22</v>
      </c>
      <c r="O184" s="2">
        <v>422620.62300000002</v>
      </c>
      <c r="P184" s="2">
        <v>5728.54</v>
      </c>
      <c r="Q184" s="2">
        <v>111863.47199999999</v>
      </c>
      <c r="R184" s="2">
        <v>93035.687000000005</v>
      </c>
      <c r="S184" s="2">
        <v>227852.93799999999</v>
      </c>
      <c r="T184" s="2">
        <v>74802.350000000006</v>
      </c>
      <c r="U184" s="2">
        <f>SUM(bs_rates_ovt[[#This Row],[deposits_overnight]:[other_funding]])</f>
        <v>1908122.83</v>
      </c>
    </row>
    <row r="185" spans="1:21">
      <c r="A185" s="1">
        <v>43922</v>
      </c>
      <c r="B185">
        <v>38726.482000000004</v>
      </c>
      <c r="C185">
        <v>630233.25399999996</v>
      </c>
      <c r="D185">
        <v>476369.02600000001</v>
      </c>
      <c r="E185">
        <v>37666.586000000003</v>
      </c>
      <c r="F185">
        <v>88088.107000000004</v>
      </c>
      <c r="G185" s="3">
        <v>1258943.088</v>
      </c>
      <c r="H185">
        <v>2530026.5429999996</v>
      </c>
      <c r="I185" s="2">
        <v>0.40666666666666701</v>
      </c>
      <c r="J185" s="2">
        <v>1.46</v>
      </c>
      <c r="K185" s="2">
        <f t="shared" si="4"/>
        <v>3.46</v>
      </c>
      <c r="L185" s="2">
        <f t="shared" si="5"/>
        <v>1.96</v>
      </c>
      <c r="M185">
        <v>4.3099999999999996</v>
      </c>
      <c r="N185" s="2">
        <v>1002830.537</v>
      </c>
      <c r="O185" s="2">
        <v>421151.886</v>
      </c>
      <c r="P185" s="2">
        <v>2355.4250000000002</v>
      </c>
      <c r="Q185" s="2">
        <v>129662.379</v>
      </c>
      <c r="R185" s="2">
        <v>90073.456000000006</v>
      </c>
      <c r="S185" s="2">
        <v>222861.981</v>
      </c>
      <c r="T185" s="2">
        <v>76592.478000000003</v>
      </c>
      <c r="U185" s="2">
        <f>SUM(bs_rates_ovt[[#This Row],[deposits_overnight]:[other_funding]])</f>
        <v>1945528.142</v>
      </c>
    </row>
    <row r="186" spans="1:21">
      <c r="A186" s="1">
        <v>43952</v>
      </c>
      <c r="B186">
        <v>57756.548999999999</v>
      </c>
      <c r="C186">
        <v>673122.43400000001</v>
      </c>
      <c r="D186">
        <v>488392.277</v>
      </c>
      <c r="E186">
        <v>66829.212</v>
      </c>
      <c r="F186">
        <v>88191.172999999995</v>
      </c>
      <c r="G186" s="3">
        <v>1245233.2660000001</v>
      </c>
      <c r="H186">
        <v>2619524.9110000003</v>
      </c>
      <c r="I186" s="2">
        <v>0.34666666666666701</v>
      </c>
      <c r="J186" s="2">
        <v>1.35</v>
      </c>
      <c r="K186" s="2">
        <f t="shared" si="4"/>
        <v>3.35</v>
      </c>
      <c r="L186" s="2">
        <f t="shared" si="5"/>
        <v>1.85</v>
      </c>
      <c r="M186">
        <v>4.03</v>
      </c>
      <c r="N186" s="2">
        <v>1059169.9240000001</v>
      </c>
      <c r="O186" s="2">
        <v>404239.93</v>
      </c>
      <c r="P186" s="2">
        <v>2593.3440000000001</v>
      </c>
      <c r="Q186" s="2">
        <v>144393.524</v>
      </c>
      <c r="R186" s="2">
        <v>89185.054000000004</v>
      </c>
      <c r="S186" s="2">
        <v>266770.54200000002</v>
      </c>
      <c r="T186" s="2">
        <v>75106.198000000004</v>
      </c>
      <c r="U186" s="2">
        <f>SUM(bs_rates_ovt[[#This Row],[deposits_overnight]:[other_funding]])</f>
        <v>2041458.5160000001</v>
      </c>
    </row>
    <row r="187" spans="1:21">
      <c r="A187" s="1">
        <v>43983</v>
      </c>
      <c r="B187">
        <v>75307.304999999993</v>
      </c>
      <c r="C187">
        <v>645867.87800000003</v>
      </c>
      <c r="D187">
        <v>497177.93699999998</v>
      </c>
      <c r="E187">
        <v>75211.660999999993</v>
      </c>
      <c r="F187">
        <v>88807.596000000005</v>
      </c>
      <c r="G187" s="3">
        <v>1238901.4439999999</v>
      </c>
      <c r="H187">
        <v>2621273.8209999995</v>
      </c>
      <c r="I187" s="2">
        <v>0.28666666666666701</v>
      </c>
      <c r="J187" s="2">
        <v>1.31</v>
      </c>
      <c r="K187" s="2">
        <f t="shared" si="4"/>
        <v>3.31</v>
      </c>
      <c r="L187" s="2">
        <f t="shared" si="5"/>
        <v>1.81</v>
      </c>
      <c r="M187">
        <v>3.6700000000000004</v>
      </c>
      <c r="N187" s="2">
        <v>1112652.449</v>
      </c>
      <c r="O187" s="2">
        <v>373396.158</v>
      </c>
      <c r="P187" s="2">
        <v>2940.94</v>
      </c>
      <c r="Q187" s="2">
        <v>149504.06700000001</v>
      </c>
      <c r="R187" s="2">
        <v>92735.308000000005</v>
      </c>
      <c r="S187" s="2">
        <v>241392.21599999999</v>
      </c>
      <c r="T187" s="2">
        <v>71426.790999999997</v>
      </c>
      <c r="U187" s="2">
        <f>SUM(bs_rates_ovt[[#This Row],[deposits_overnight]:[other_funding]])</f>
        <v>2044047.929</v>
      </c>
    </row>
    <row r="188" spans="1:21">
      <c r="A188" s="1">
        <v>44013</v>
      </c>
      <c r="B188">
        <v>87408.849000000002</v>
      </c>
      <c r="C188">
        <v>632026.00899999996</v>
      </c>
      <c r="D188">
        <v>504328.14299999998</v>
      </c>
      <c r="E188">
        <v>75183.824999999997</v>
      </c>
      <c r="F188">
        <v>88981.646999999997</v>
      </c>
      <c r="G188" s="3">
        <v>1229738.27</v>
      </c>
      <c r="H188">
        <v>2617666.7429999998</v>
      </c>
      <c r="I188" s="2">
        <v>0.22666666666666699</v>
      </c>
      <c r="J188" s="2">
        <v>1.33</v>
      </c>
      <c r="K188" s="2">
        <f t="shared" si="4"/>
        <v>3.33</v>
      </c>
      <c r="L188" s="2">
        <f t="shared" si="5"/>
        <v>1.83</v>
      </c>
      <c r="M188">
        <v>3.38</v>
      </c>
      <c r="N188" s="2">
        <v>1124679.6000000001</v>
      </c>
      <c r="O188" s="2">
        <v>353126.44300000003</v>
      </c>
      <c r="P188" s="2">
        <v>3873.5680000000002</v>
      </c>
      <c r="Q188" s="2">
        <v>162322.74299999999</v>
      </c>
      <c r="R188" s="2">
        <v>99160.144</v>
      </c>
      <c r="S188" s="2">
        <v>236387.78700000001</v>
      </c>
      <c r="T188" s="2">
        <v>69340.251999999993</v>
      </c>
      <c r="U188" s="2">
        <f>SUM(bs_rates_ovt[[#This Row],[deposits_overnight]:[other_funding]])</f>
        <v>2048890.5370000002</v>
      </c>
    </row>
    <row r="189" spans="1:21">
      <c r="A189" s="1">
        <v>44044</v>
      </c>
      <c r="B189">
        <v>98596.369000000006</v>
      </c>
      <c r="C189">
        <v>631235.33900000004</v>
      </c>
      <c r="D189">
        <v>502365.8</v>
      </c>
      <c r="E189">
        <v>75335.058999999994</v>
      </c>
      <c r="F189">
        <v>89651.495999999999</v>
      </c>
      <c r="G189" s="3">
        <v>1229971.58</v>
      </c>
      <c r="H189">
        <v>2627155.6430000002</v>
      </c>
      <c r="I189" s="2">
        <v>0.22333333333333366</v>
      </c>
      <c r="J189" s="2">
        <v>1.32</v>
      </c>
      <c r="K189" s="2">
        <f t="shared" si="4"/>
        <v>3.3200000000000003</v>
      </c>
      <c r="L189" s="2">
        <f t="shared" si="5"/>
        <v>1.82</v>
      </c>
      <c r="M189">
        <v>3.3099999999999996</v>
      </c>
      <c r="N189" s="2">
        <v>1141649.767</v>
      </c>
      <c r="O189" s="2">
        <v>337384.17599999998</v>
      </c>
      <c r="P189" s="2">
        <v>3560.5239999999999</v>
      </c>
      <c r="Q189" s="2">
        <v>168610.88</v>
      </c>
      <c r="R189" s="2">
        <v>102412.246</v>
      </c>
      <c r="S189" s="2">
        <v>232544.33900000001</v>
      </c>
      <c r="T189" s="2">
        <v>71058.012000000002</v>
      </c>
      <c r="U189" s="2">
        <f>SUM(bs_rates_ovt[[#This Row],[deposits_overnight]:[other_funding]])</f>
        <v>2057219.9440000001</v>
      </c>
    </row>
    <row r="190" spans="1:21">
      <c r="A190" s="1">
        <v>44075</v>
      </c>
      <c r="B190">
        <v>101206.66800000001</v>
      </c>
      <c r="C190">
        <v>661130.92299999995</v>
      </c>
      <c r="D190">
        <v>502113.77</v>
      </c>
      <c r="E190">
        <v>75454.123999999996</v>
      </c>
      <c r="F190">
        <v>91413.78</v>
      </c>
      <c r="G190" s="3">
        <v>1234065.4040000001</v>
      </c>
      <c r="H190">
        <v>2665384.6690000002</v>
      </c>
      <c r="I190" s="2">
        <v>0.22000000000000033</v>
      </c>
      <c r="J190" s="2">
        <v>1.35</v>
      </c>
      <c r="K190" s="2">
        <f t="shared" si="4"/>
        <v>3.35</v>
      </c>
      <c r="L190" s="2">
        <f t="shared" si="5"/>
        <v>1.85</v>
      </c>
      <c r="M190">
        <v>3.3000000000000003</v>
      </c>
      <c r="N190" s="2">
        <v>1163330.9750000001</v>
      </c>
      <c r="O190" s="2">
        <v>330728.48800000001</v>
      </c>
      <c r="P190" s="2">
        <v>3104.0929999999998</v>
      </c>
      <c r="Q190" s="2">
        <v>161168.84299999999</v>
      </c>
      <c r="R190" s="2">
        <v>105586.99</v>
      </c>
      <c r="S190" s="2">
        <v>243626.10800000001</v>
      </c>
      <c r="T190" s="2">
        <v>71643.047999999995</v>
      </c>
      <c r="U190" s="2">
        <f>SUM(bs_rates_ovt[[#This Row],[deposits_overnight]:[other_funding]])</f>
        <v>2079188.5450000002</v>
      </c>
    </row>
    <row r="191" spans="1:21">
      <c r="A191" s="1">
        <v>44105</v>
      </c>
      <c r="B191">
        <v>108999.734</v>
      </c>
      <c r="C191">
        <v>692285.18900000001</v>
      </c>
      <c r="D191">
        <v>501611.10100000002</v>
      </c>
      <c r="E191">
        <v>74730.937999999995</v>
      </c>
      <c r="F191">
        <v>92361.428</v>
      </c>
      <c r="G191" s="3">
        <v>1241083.2379999999</v>
      </c>
      <c r="H191">
        <v>2711071.628</v>
      </c>
      <c r="I191" s="2">
        <v>0.21666666666666701</v>
      </c>
      <c r="J191" s="2">
        <v>1.26</v>
      </c>
      <c r="K191" s="2">
        <f t="shared" si="4"/>
        <v>3.26</v>
      </c>
      <c r="L191" s="2">
        <f t="shared" si="5"/>
        <v>1.76</v>
      </c>
      <c r="M191">
        <v>3.2099999999999995</v>
      </c>
      <c r="N191" s="2">
        <v>1182395.446</v>
      </c>
      <c r="O191" s="2">
        <v>323187.27899999998</v>
      </c>
      <c r="P191" s="2">
        <v>3172.9459999999999</v>
      </c>
      <c r="Q191" s="2">
        <v>163961.01199999999</v>
      </c>
      <c r="R191" s="2">
        <v>111867.751</v>
      </c>
      <c r="S191" s="2">
        <v>247961.77499999999</v>
      </c>
      <c r="T191" s="2">
        <v>73190.138999999996</v>
      </c>
      <c r="U191" s="2">
        <f>SUM(bs_rates_ovt[[#This Row],[deposits_overnight]:[other_funding]])</f>
        <v>2105736.3480000002</v>
      </c>
    </row>
    <row r="192" spans="1:21">
      <c r="A192" s="1">
        <v>44136</v>
      </c>
      <c r="B192">
        <v>120985.33199999999</v>
      </c>
      <c r="C192">
        <v>668486.60900000005</v>
      </c>
      <c r="D192">
        <v>501030.27799999999</v>
      </c>
      <c r="E192">
        <v>75587.346999999994</v>
      </c>
      <c r="F192">
        <v>91322.201000000001</v>
      </c>
      <c r="G192" s="3">
        <v>1234107.0249999999</v>
      </c>
      <c r="H192">
        <v>2691518.7919999999</v>
      </c>
      <c r="I192" s="2">
        <v>0.21444444444444466</v>
      </c>
      <c r="J192" s="2">
        <v>1.2</v>
      </c>
      <c r="K192" s="2">
        <f t="shared" si="4"/>
        <v>3.2</v>
      </c>
      <c r="L192" s="2">
        <f t="shared" si="5"/>
        <v>1.7</v>
      </c>
      <c r="M192">
        <v>3.2300000000000004</v>
      </c>
      <c r="N192" s="2">
        <v>1198420.044</v>
      </c>
      <c r="O192" s="2">
        <v>310415.984</v>
      </c>
      <c r="P192" s="2">
        <v>2714.5749999999998</v>
      </c>
      <c r="Q192" s="2">
        <v>160486.60699999999</v>
      </c>
      <c r="R192" s="2">
        <v>113931.84</v>
      </c>
      <c r="S192" s="2">
        <v>241327.03200000001</v>
      </c>
      <c r="T192" s="2">
        <v>76506.770999999993</v>
      </c>
      <c r="U192" s="2">
        <f>SUM(bs_rates_ovt[[#This Row],[deposits_overnight]:[other_funding]])</f>
        <v>2103802.8530000001</v>
      </c>
    </row>
    <row r="193" spans="1:21">
      <c r="A193" s="1">
        <v>44166</v>
      </c>
      <c r="B193">
        <v>123490.67200000001</v>
      </c>
      <c r="C193">
        <v>700775.478</v>
      </c>
      <c r="D193">
        <v>500606.76199999999</v>
      </c>
      <c r="E193">
        <v>78309.532999999996</v>
      </c>
      <c r="F193">
        <v>94367.194000000003</v>
      </c>
      <c r="G193" s="3">
        <v>1226966.223</v>
      </c>
      <c r="H193">
        <v>2724515.8619999997</v>
      </c>
      <c r="I193" s="2">
        <v>0.21222222222222234</v>
      </c>
      <c r="J193" s="2">
        <v>1.29</v>
      </c>
      <c r="K193" s="2">
        <f t="shared" si="4"/>
        <v>3.29</v>
      </c>
      <c r="L193" s="2">
        <f t="shared" si="5"/>
        <v>1.79</v>
      </c>
      <c r="M193">
        <v>3.19</v>
      </c>
      <c r="N193" s="2">
        <v>1224904.301</v>
      </c>
      <c r="O193" s="2">
        <v>311991.08299999998</v>
      </c>
      <c r="P193" s="2">
        <v>2835.56</v>
      </c>
      <c r="Q193" s="2">
        <v>114817.93</v>
      </c>
      <c r="R193" s="2">
        <v>118630.807</v>
      </c>
      <c r="S193" s="2">
        <v>272086.68199999997</v>
      </c>
      <c r="T193" s="2">
        <v>84875.995999999999</v>
      </c>
      <c r="U193" s="2">
        <f>SUM(bs_rates_ovt[[#This Row],[deposits_overnight]:[other_funding]])</f>
        <v>2130142.3590000002</v>
      </c>
    </row>
    <row r="194" spans="1:21">
      <c r="A194" s="1">
        <v>44197</v>
      </c>
      <c r="B194">
        <v>123520.777</v>
      </c>
      <c r="C194">
        <v>705683.13800000004</v>
      </c>
      <c r="D194">
        <v>504856.55699999997</v>
      </c>
      <c r="E194">
        <v>81424.95</v>
      </c>
      <c r="F194">
        <v>92795.125</v>
      </c>
      <c r="G194" s="3">
        <v>1230358.4790000001</v>
      </c>
      <c r="H194">
        <v>2738639.0260000001</v>
      </c>
      <c r="I194" s="2">
        <v>0.21</v>
      </c>
      <c r="J194" s="2">
        <v>1.19</v>
      </c>
      <c r="K194" s="2">
        <f t="shared" si="4"/>
        <v>3.19</v>
      </c>
      <c r="L194" s="2">
        <f t="shared" si="5"/>
        <v>1.69</v>
      </c>
      <c r="M194">
        <v>3.2099999999999995</v>
      </c>
      <c r="N194" s="2">
        <v>1230165.818</v>
      </c>
      <c r="O194" s="2">
        <v>301684.00599999999</v>
      </c>
      <c r="P194" s="2">
        <v>2957.366</v>
      </c>
      <c r="Q194" s="2">
        <v>150857.655</v>
      </c>
      <c r="R194" s="2">
        <v>117062.13099999999</v>
      </c>
      <c r="S194" s="2">
        <v>256903.93400000001</v>
      </c>
      <c r="T194" s="2">
        <v>87521.414999999994</v>
      </c>
      <c r="U194" s="2">
        <f>SUM(bs_rates_ovt[[#This Row],[deposits_overnight]:[other_funding]])</f>
        <v>2147152.3250000002</v>
      </c>
    </row>
    <row r="195" spans="1:21">
      <c r="A195" s="1">
        <v>44228</v>
      </c>
      <c r="B195">
        <v>128081.913</v>
      </c>
      <c r="C195">
        <v>725624.26</v>
      </c>
      <c r="D195">
        <v>506993.00400000002</v>
      </c>
      <c r="E195">
        <v>82188.639999999999</v>
      </c>
      <c r="F195">
        <v>92626.951000000001</v>
      </c>
      <c r="G195" s="3">
        <v>1230446.879</v>
      </c>
      <c r="H195">
        <v>2765961.6469999999</v>
      </c>
      <c r="I195" s="2">
        <v>0.21</v>
      </c>
      <c r="J195" s="2">
        <v>1.31</v>
      </c>
      <c r="K195" s="2">
        <f t="shared" ref="K195:K253" si="6">J195+2</f>
        <v>3.31</v>
      </c>
      <c r="L195" s="2">
        <f t="shared" ref="L195:L253" si="7">J195+0.5</f>
        <v>1.81</v>
      </c>
      <c r="M195">
        <v>3.27</v>
      </c>
      <c r="N195" s="2">
        <v>1258904.4410000001</v>
      </c>
      <c r="O195" s="2">
        <v>287554.44500000001</v>
      </c>
      <c r="P195" s="2">
        <v>2528.8130000000001</v>
      </c>
      <c r="Q195" s="2">
        <v>169984.67</v>
      </c>
      <c r="R195" s="2">
        <v>117653.27899999999</v>
      </c>
      <c r="S195" s="2">
        <v>255325.64300000001</v>
      </c>
      <c r="T195" s="2">
        <v>84982.107000000004</v>
      </c>
      <c r="U195" s="2">
        <f>SUM(bs_rates_ovt[[#This Row],[deposits_overnight]:[other_funding]])</f>
        <v>2176933.398</v>
      </c>
    </row>
    <row r="196" spans="1:21">
      <c r="A196" s="1">
        <v>44256</v>
      </c>
      <c r="B196">
        <v>132631.984</v>
      </c>
      <c r="C196">
        <v>750548.50899999996</v>
      </c>
      <c r="D196">
        <v>506222.87199999997</v>
      </c>
      <c r="E196">
        <v>82990.175000000003</v>
      </c>
      <c r="F196">
        <v>92386.910999999993</v>
      </c>
      <c r="G196" s="3">
        <v>1237585.0379999999</v>
      </c>
      <c r="H196">
        <v>2802365.4890000001</v>
      </c>
      <c r="I196" s="2">
        <v>0.21</v>
      </c>
      <c r="J196" s="2">
        <v>1.52</v>
      </c>
      <c r="K196" s="2">
        <f t="shared" si="6"/>
        <v>3.52</v>
      </c>
      <c r="L196" s="2">
        <f t="shared" si="7"/>
        <v>2.02</v>
      </c>
      <c r="M196">
        <v>3.19</v>
      </c>
      <c r="N196" s="2">
        <v>1284135.855</v>
      </c>
      <c r="O196" s="2">
        <v>281549.79599999997</v>
      </c>
      <c r="P196" s="2">
        <v>2218.13</v>
      </c>
      <c r="Q196" s="2">
        <v>165347.93900000001</v>
      </c>
      <c r="R196" s="2">
        <v>121147.492</v>
      </c>
      <c r="S196" s="2">
        <v>249343.54800000001</v>
      </c>
      <c r="T196" s="2">
        <v>79555.404999999999</v>
      </c>
      <c r="U196" s="2">
        <f>SUM(bs_rates_ovt[[#This Row],[deposits_overnight]:[other_funding]])</f>
        <v>2183298.165</v>
      </c>
    </row>
    <row r="197" spans="1:21">
      <c r="A197" s="1">
        <v>44287</v>
      </c>
      <c r="B197">
        <v>135452.79</v>
      </c>
      <c r="C197">
        <v>714173.93</v>
      </c>
      <c r="D197">
        <v>510109.77600000001</v>
      </c>
      <c r="E197">
        <v>83030.567999999999</v>
      </c>
      <c r="F197">
        <v>91575.524000000005</v>
      </c>
      <c r="G197" s="3">
        <v>1239390.074</v>
      </c>
      <c r="H197">
        <v>2773732.662</v>
      </c>
      <c r="I197" s="2">
        <v>0.21</v>
      </c>
      <c r="J197" s="2">
        <v>1.55</v>
      </c>
      <c r="K197" s="2">
        <f t="shared" si="6"/>
        <v>3.55</v>
      </c>
      <c r="L197" s="2">
        <f t="shared" si="7"/>
        <v>2.0499999999999998</v>
      </c>
      <c r="M197">
        <v>3.2199999999999998</v>
      </c>
      <c r="N197" s="2">
        <v>1280664.148</v>
      </c>
      <c r="O197" s="2">
        <v>275423.69799999997</v>
      </c>
      <c r="P197" s="2">
        <v>1822.0450000000001</v>
      </c>
      <c r="Q197" s="2">
        <v>173538.57699999999</v>
      </c>
      <c r="R197" s="2">
        <v>124367.038</v>
      </c>
      <c r="S197" s="2">
        <v>228970.962</v>
      </c>
      <c r="T197" s="2">
        <v>79287.684999999998</v>
      </c>
      <c r="U197" s="2">
        <f>SUM(bs_rates_ovt[[#This Row],[deposits_overnight]:[other_funding]])</f>
        <v>2164074.1529999999</v>
      </c>
    </row>
    <row r="198" spans="1:21">
      <c r="A198" s="1">
        <v>44317</v>
      </c>
      <c r="B198">
        <v>145151.65900000001</v>
      </c>
      <c r="C198">
        <v>720738.57400000002</v>
      </c>
      <c r="D198">
        <v>522571.79100000003</v>
      </c>
      <c r="E198">
        <v>81748.843999999997</v>
      </c>
      <c r="F198">
        <v>91057.209000000003</v>
      </c>
      <c r="G198" s="3">
        <v>1242530.0830000001</v>
      </c>
      <c r="H198">
        <v>2803798.16</v>
      </c>
      <c r="I198" s="2">
        <v>0.21333333333333332</v>
      </c>
      <c r="J198" s="2">
        <v>1.82</v>
      </c>
      <c r="K198" s="2">
        <f t="shared" si="6"/>
        <v>3.8200000000000003</v>
      </c>
      <c r="L198" s="2">
        <f t="shared" si="7"/>
        <v>2.3200000000000003</v>
      </c>
      <c r="M198">
        <v>3.2</v>
      </c>
      <c r="N198" s="2">
        <v>1295162.7679999999</v>
      </c>
      <c r="O198" s="2">
        <v>271188.64500000002</v>
      </c>
      <c r="P198" s="2">
        <v>2343.5859999999998</v>
      </c>
      <c r="Q198" s="2">
        <v>183288.54</v>
      </c>
      <c r="R198" s="2">
        <v>125486.546</v>
      </c>
      <c r="S198" s="2">
        <v>237848.875</v>
      </c>
      <c r="T198" s="2">
        <v>82765.42</v>
      </c>
      <c r="U198" s="2">
        <f>SUM(bs_rates_ovt[[#This Row],[deposits_overnight]:[other_funding]])</f>
        <v>2198084.38</v>
      </c>
    </row>
    <row r="199" spans="1:21">
      <c r="A199" s="1">
        <v>44348</v>
      </c>
      <c r="B199">
        <v>145531.166</v>
      </c>
      <c r="C199">
        <v>731229.67299999995</v>
      </c>
      <c r="D199">
        <v>523506.06599999999</v>
      </c>
      <c r="E199">
        <v>82688.625</v>
      </c>
      <c r="F199">
        <v>90707.968999999997</v>
      </c>
      <c r="G199" s="3">
        <v>1243331.4920000001</v>
      </c>
      <c r="H199">
        <v>2816994.9909999999</v>
      </c>
      <c r="I199" s="2">
        <v>0.21666666666666667</v>
      </c>
      <c r="J199" s="2">
        <v>1.78</v>
      </c>
      <c r="K199" s="2">
        <f t="shared" si="6"/>
        <v>3.7800000000000002</v>
      </c>
      <c r="L199" s="2">
        <f t="shared" si="7"/>
        <v>2.2800000000000002</v>
      </c>
      <c r="M199">
        <v>3.2399999999999998</v>
      </c>
      <c r="N199" s="2">
        <v>1306060.8230000001</v>
      </c>
      <c r="O199" s="2">
        <v>262373.935</v>
      </c>
      <c r="P199" s="2">
        <v>3389.8040000000001</v>
      </c>
      <c r="Q199" s="2">
        <v>202125.193</v>
      </c>
      <c r="R199" s="2">
        <v>125300.588</v>
      </c>
      <c r="S199" s="2">
        <v>234603.408</v>
      </c>
      <c r="T199" s="2">
        <v>81081.923999999999</v>
      </c>
      <c r="U199" s="2">
        <f>SUM(bs_rates_ovt[[#This Row],[deposits_overnight]:[other_funding]])</f>
        <v>2214935.6750000003</v>
      </c>
    </row>
    <row r="200" spans="1:21">
      <c r="A200" s="1">
        <v>44378</v>
      </c>
      <c r="B200">
        <v>149050.774</v>
      </c>
      <c r="C200">
        <v>760015.47199999995</v>
      </c>
      <c r="D200">
        <v>514583.038</v>
      </c>
      <c r="E200">
        <v>82659.134999999995</v>
      </c>
      <c r="F200">
        <v>91441.853000000003</v>
      </c>
      <c r="G200" s="3">
        <v>1255347.6329999999</v>
      </c>
      <c r="H200">
        <v>2853097.9049999998</v>
      </c>
      <c r="I200" s="2">
        <v>0.22</v>
      </c>
      <c r="J200" s="2">
        <v>1.61</v>
      </c>
      <c r="K200" s="2">
        <f t="shared" si="6"/>
        <v>3.6100000000000003</v>
      </c>
      <c r="L200" s="2">
        <f t="shared" si="7"/>
        <v>2.1100000000000003</v>
      </c>
      <c r="M200">
        <v>3.2199999999999998</v>
      </c>
      <c r="N200" s="2">
        <v>1319738.8600000001</v>
      </c>
      <c r="O200" s="2">
        <v>263397.86900000001</v>
      </c>
      <c r="P200" s="2">
        <v>4092.8980000000001</v>
      </c>
      <c r="Q200" s="2">
        <v>213894.00899999999</v>
      </c>
      <c r="R200" s="2">
        <v>127938.47100000001</v>
      </c>
      <c r="S200" s="2">
        <v>230907.51500000001</v>
      </c>
      <c r="T200" s="2">
        <v>78537.107000000004</v>
      </c>
      <c r="U200" s="2">
        <f>SUM(bs_rates_ovt[[#This Row],[deposits_overnight]:[other_funding]])</f>
        <v>2238506.7289999998</v>
      </c>
    </row>
    <row r="201" spans="1:21">
      <c r="A201" s="1">
        <v>44409</v>
      </c>
      <c r="B201">
        <v>152383.921</v>
      </c>
      <c r="C201">
        <v>789495.42700000003</v>
      </c>
      <c r="D201">
        <v>516759.929</v>
      </c>
      <c r="E201">
        <v>81724.096999999994</v>
      </c>
      <c r="F201">
        <v>90297.937000000005</v>
      </c>
      <c r="G201" s="3">
        <v>1260074.2339999999</v>
      </c>
      <c r="H201">
        <v>2890735.5449999999</v>
      </c>
      <c r="I201" s="2">
        <v>0.74</v>
      </c>
      <c r="J201" s="2">
        <v>1.6</v>
      </c>
      <c r="K201" s="2">
        <f t="shared" si="6"/>
        <v>3.6</v>
      </c>
      <c r="L201" s="2">
        <f t="shared" si="7"/>
        <v>2.1</v>
      </c>
      <c r="M201">
        <v>3.2199999999999998</v>
      </c>
      <c r="N201" s="2">
        <v>1330960.622</v>
      </c>
      <c r="O201" s="2">
        <v>258187.894</v>
      </c>
      <c r="P201" s="2">
        <v>4529.3500000000004</v>
      </c>
      <c r="Q201" s="2">
        <v>225111.26800000001</v>
      </c>
      <c r="R201" s="2">
        <v>127511.61599999999</v>
      </c>
      <c r="S201" s="2">
        <v>252243.56700000001</v>
      </c>
      <c r="T201" s="2">
        <v>79028.811000000002</v>
      </c>
      <c r="U201" s="2">
        <f>SUM(bs_rates_ovt[[#This Row],[deposits_overnight]:[other_funding]])</f>
        <v>2277573.128</v>
      </c>
    </row>
    <row r="202" spans="1:21">
      <c r="A202" s="1">
        <v>44440</v>
      </c>
      <c r="B202">
        <v>160682.45199999999</v>
      </c>
      <c r="C202">
        <v>814329.18299999996</v>
      </c>
      <c r="D202">
        <v>515700.19799999997</v>
      </c>
      <c r="E202">
        <v>82064.540999999997</v>
      </c>
      <c r="F202">
        <v>91037.164000000004</v>
      </c>
      <c r="G202" s="3">
        <v>1269737.0090000001</v>
      </c>
      <c r="H202">
        <v>2933550.5470000003</v>
      </c>
      <c r="I202" s="2">
        <v>1.26</v>
      </c>
      <c r="J202" s="2">
        <v>1.87</v>
      </c>
      <c r="K202" s="2">
        <f t="shared" si="6"/>
        <v>3.87</v>
      </c>
      <c r="L202" s="2">
        <f t="shared" si="7"/>
        <v>2.37</v>
      </c>
      <c r="M202">
        <v>3.2399999999999998</v>
      </c>
      <c r="N202" s="2">
        <v>1344328.3970000001</v>
      </c>
      <c r="O202" s="2">
        <v>256341.56899999999</v>
      </c>
      <c r="P202" s="2">
        <v>3644.0929999999998</v>
      </c>
      <c r="Q202" s="2">
        <v>230593.81599999999</v>
      </c>
      <c r="R202" s="2">
        <v>126744.942</v>
      </c>
      <c r="S202" s="2">
        <v>262395.27600000001</v>
      </c>
      <c r="T202" s="2">
        <v>83418.968999999997</v>
      </c>
      <c r="U202" s="2">
        <f>SUM(bs_rates_ovt[[#This Row],[deposits_overnight]:[other_funding]])</f>
        <v>2307467.0619999999</v>
      </c>
    </row>
    <row r="203" spans="1:21">
      <c r="A203" s="1">
        <v>44470</v>
      </c>
      <c r="B203">
        <v>169417.46400000001</v>
      </c>
      <c r="C203">
        <v>814209.48699999996</v>
      </c>
      <c r="D203">
        <v>503473.55099999998</v>
      </c>
      <c r="E203">
        <v>82546.744000000006</v>
      </c>
      <c r="F203">
        <v>90746.06</v>
      </c>
      <c r="G203" s="3">
        <v>1287578.3959999999</v>
      </c>
      <c r="H203">
        <v>2947971.7019999996</v>
      </c>
      <c r="I203" s="2">
        <v>1.78</v>
      </c>
      <c r="J203" s="2">
        <v>2.63</v>
      </c>
      <c r="K203" s="2">
        <f t="shared" si="6"/>
        <v>4.63</v>
      </c>
      <c r="L203" s="2">
        <f t="shared" si="7"/>
        <v>3.13</v>
      </c>
      <c r="M203">
        <v>3.3000000000000003</v>
      </c>
      <c r="N203" s="2">
        <v>1360402.0009999999</v>
      </c>
      <c r="O203" s="2">
        <v>259546.90100000001</v>
      </c>
      <c r="P203" s="2">
        <v>3172.9430000000002</v>
      </c>
      <c r="Q203" s="2">
        <v>211318.09599999999</v>
      </c>
      <c r="R203" s="2">
        <v>128386.266</v>
      </c>
      <c r="S203" s="2">
        <v>271999.15000000002</v>
      </c>
      <c r="T203" s="2">
        <v>88248.127999999997</v>
      </c>
      <c r="U203" s="2">
        <f>SUM(bs_rates_ovt[[#This Row],[deposits_overnight]:[other_funding]])</f>
        <v>2323073.4849999999</v>
      </c>
    </row>
    <row r="204" spans="1:21">
      <c r="A204" s="1">
        <v>44501</v>
      </c>
      <c r="B204">
        <v>176889.247</v>
      </c>
      <c r="C204">
        <v>853758.69299999997</v>
      </c>
      <c r="D204">
        <v>501715.37800000003</v>
      </c>
      <c r="E204">
        <v>83140.001999999993</v>
      </c>
      <c r="F204">
        <v>92778.263000000006</v>
      </c>
      <c r="G204" s="3">
        <v>1296906.6410000001</v>
      </c>
      <c r="H204">
        <v>3005188.2240000004</v>
      </c>
      <c r="I204" s="2">
        <v>2.4577777777777765</v>
      </c>
      <c r="J204" s="2">
        <v>3.12</v>
      </c>
      <c r="K204" s="2">
        <f t="shared" si="6"/>
        <v>5.12</v>
      </c>
      <c r="L204" s="2">
        <f t="shared" si="7"/>
        <v>3.62</v>
      </c>
      <c r="M204">
        <v>3.62</v>
      </c>
      <c r="N204" s="2">
        <v>1386524.3870000001</v>
      </c>
      <c r="O204" s="2">
        <v>262436.95600000001</v>
      </c>
      <c r="P204" s="2">
        <v>5023.4960000000001</v>
      </c>
      <c r="Q204" s="2">
        <v>206904.49600000001</v>
      </c>
      <c r="R204" s="2">
        <v>126599.662</v>
      </c>
      <c r="S204" s="2">
        <v>284979.07</v>
      </c>
      <c r="T204" s="2">
        <v>93787.589000000007</v>
      </c>
      <c r="U204" s="2">
        <f>SUM(bs_rates_ovt[[#This Row],[deposits_overnight]:[other_funding]])</f>
        <v>2366255.6560000004</v>
      </c>
    </row>
    <row r="205" spans="1:21">
      <c r="A205" s="1">
        <v>44531</v>
      </c>
      <c r="B205">
        <v>167288.68299999999</v>
      </c>
      <c r="C205">
        <v>816705.26899999997</v>
      </c>
      <c r="D205">
        <v>501130.92599999998</v>
      </c>
      <c r="E205">
        <v>83744.953999999998</v>
      </c>
      <c r="F205">
        <v>94163.032999999996</v>
      </c>
      <c r="G205" s="3">
        <v>1293959.2609999999</v>
      </c>
      <c r="H205">
        <v>2956992.1260000002</v>
      </c>
      <c r="I205" s="2">
        <v>3.1355555555555528</v>
      </c>
      <c r="J205" s="2">
        <v>3.33</v>
      </c>
      <c r="K205" s="2">
        <f t="shared" si="6"/>
        <v>5.33</v>
      </c>
      <c r="L205" s="2">
        <f t="shared" si="7"/>
        <v>3.83</v>
      </c>
      <c r="M205">
        <v>4.1399999999999997</v>
      </c>
      <c r="N205" s="2">
        <v>1384380.3319999999</v>
      </c>
      <c r="O205" s="2">
        <v>275748.90899999999</v>
      </c>
      <c r="P205" s="2">
        <v>5821.2780000000002</v>
      </c>
      <c r="Q205" s="2">
        <v>140803.08900000001</v>
      </c>
      <c r="R205" s="2">
        <v>129257.56600000001</v>
      </c>
      <c r="S205" s="2">
        <v>291578.51799999998</v>
      </c>
      <c r="T205" s="2">
        <v>110276.01700000001</v>
      </c>
      <c r="U205" s="2">
        <f>SUM(bs_rates_ovt[[#This Row],[deposits_overnight]:[other_funding]])</f>
        <v>2337865.7089999998</v>
      </c>
    </row>
    <row r="206" spans="1:21">
      <c r="A206" s="1">
        <v>44562</v>
      </c>
      <c r="B206">
        <v>174903.07500000001</v>
      </c>
      <c r="C206">
        <v>815328.83100000001</v>
      </c>
      <c r="D206">
        <v>503435.68699999998</v>
      </c>
      <c r="E206">
        <v>83317.687999999995</v>
      </c>
      <c r="F206">
        <v>92945.838000000003</v>
      </c>
      <c r="G206" s="3">
        <v>1294914.781</v>
      </c>
      <c r="H206">
        <v>2964845.9</v>
      </c>
      <c r="I206" s="2">
        <v>3.8133333333333299</v>
      </c>
      <c r="J206" s="2">
        <v>4</v>
      </c>
      <c r="K206" s="2">
        <f t="shared" si="6"/>
        <v>6</v>
      </c>
      <c r="L206" s="2">
        <f t="shared" si="7"/>
        <v>4.5</v>
      </c>
      <c r="M206">
        <v>4.8</v>
      </c>
      <c r="N206" s="2">
        <v>1360923.9129999999</v>
      </c>
      <c r="O206" s="2">
        <v>278197.74300000002</v>
      </c>
      <c r="P206" s="2">
        <v>4512.6469999999999</v>
      </c>
      <c r="Q206" s="2">
        <v>171112.36</v>
      </c>
      <c r="R206" s="2">
        <v>127878.641</v>
      </c>
      <c r="S206" s="2">
        <v>285555.63099999999</v>
      </c>
      <c r="T206" s="2">
        <v>115944.22199999999</v>
      </c>
      <c r="U206" s="2">
        <f>SUM(bs_rates_ovt[[#This Row],[deposits_overnight]:[other_funding]])</f>
        <v>2344125.1570000001</v>
      </c>
    </row>
    <row r="207" spans="1:21">
      <c r="A207" s="1">
        <v>44593</v>
      </c>
      <c r="B207">
        <v>187332.54399999999</v>
      </c>
      <c r="C207">
        <v>835166.50100000005</v>
      </c>
      <c r="D207">
        <v>505105.94400000002</v>
      </c>
      <c r="E207">
        <v>83133.171000000002</v>
      </c>
      <c r="F207">
        <v>93117.759000000005</v>
      </c>
      <c r="G207" s="3">
        <v>1311027.4069999999</v>
      </c>
      <c r="H207">
        <v>3014883.3260000004</v>
      </c>
      <c r="I207" s="2">
        <v>4.7299999999999969</v>
      </c>
      <c r="J207" s="2">
        <v>3.95</v>
      </c>
      <c r="K207" s="2">
        <f t="shared" si="6"/>
        <v>5.95</v>
      </c>
      <c r="L207" s="2">
        <f t="shared" si="7"/>
        <v>4.45</v>
      </c>
      <c r="M207">
        <v>5.33</v>
      </c>
      <c r="N207" s="2">
        <v>1350061.868</v>
      </c>
      <c r="O207" s="2">
        <v>296836.76799999998</v>
      </c>
      <c r="P207" s="2">
        <v>4773.8959999999997</v>
      </c>
      <c r="Q207" s="2">
        <v>158666.883</v>
      </c>
      <c r="R207" s="2">
        <v>127471.989</v>
      </c>
      <c r="S207" s="2">
        <v>298252.51400000002</v>
      </c>
      <c r="T207" s="2">
        <v>124705.787</v>
      </c>
      <c r="U207" s="2">
        <f>SUM(bs_rates_ovt[[#This Row],[deposits_overnight]:[other_funding]])</f>
        <v>2360769.7050000001</v>
      </c>
    </row>
    <row r="208" spans="1:21">
      <c r="A208" s="1">
        <v>44621</v>
      </c>
      <c r="B208">
        <v>202960.08600000001</v>
      </c>
      <c r="C208">
        <v>842491.18799999997</v>
      </c>
      <c r="D208">
        <v>500201.19900000002</v>
      </c>
      <c r="E208">
        <v>82016.380999999994</v>
      </c>
      <c r="F208">
        <v>92809.839000000007</v>
      </c>
      <c r="G208" s="3">
        <v>1320784.6259999999</v>
      </c>
      <c r="H208">
        <v>3041263.3190000001</v>
      </c>
      <c r="I208" s="2">
        <v>5.6466666666666629</v>
      </c>
      <c r="J208" s="2">
        <v>4.83</v>
      </c>
      <c r="K208" s="2">
        <f t="shared" si="6"/>
        <v>6.83</v>
      </c>
      <c r="L208" s="2">
        <f t="shared" si="7"/>
        <v>5.33</v>
      </c>
      <c r="M208">
        <v>5.79</v>
      </c>
      <c r="N208" s="2">
        <v>1346466.4580000001</v>
      </c>
      <c r="O208" s="2">
        <v>305601.87</v>
      </c>
      <c r="P208" s="2">
        <v>4927.9589999999998</v>
      </c>
      <c r="Q208" s="2">
        <v>145632.15599999999</v>
      </c>
      <c r="R208" s="2">
        <v>129586.62699999999</v>
      </c>
      <c r="S208" s="2">
        <v>316285.908</v>
      </c>
      <c r="T208" s="2">
        <v>126449.558</v>
      </c>
      <c r="U208" s="2">
        <f>SUM(bs_rates_ovt[[#This Row],[deposits_overnight]:[other_funding]])</f>
        <v>2374950.5360000003</v>
      </c>
    </row>
    <row r="209" spans="1:21">
      <c r="A209" s="1">
        <v>44652</v>
      </c>
      <c r="B209">
        <v>219684.96100000001</v>
      </c>
      <c r="C209">
        <v>853292.15300000005</v>
      </c>
      <c r="D209">
        <v>482478.09600000002</v>
      </c>
      <c r="E209">
        <v>83071.213000000003</v>
      </c>
      <c r="F209">
        <v>92835.217999999993</v>
      </c>
      <c r="G209" s="3">
        <v>1335557.8870000001</v>
      </c>
      <c r="H209">
        <v>3066919.5279999999</v>
      </c>
      <c r="I209" s="2">
        <v>6.5633333333333299</v>
      </c>
      <c r="J209" s="2">
        <v>5.96</v>
      </c>
      <c r="K209" s="2">
        <f t="shared" si="6"/>
        <v>7.96</v>
      </c>
      <c r="L209" s="2">
        <f t="shared" si="7"/>
        <v>6.46</v>
      </c>
      <c r="M209">
        <v>6.7100000000000009</v>
      </c>
      <c r="N209" s="2">
        <v>1312789.2350000001</v>
      </c>
      <c r="O209" s="2">
        <v>339020.70400000003</v>
      </c>
      <c r="P209" s="2">
        <v>5409.5219999999999</v>
      </c>
      <c r="Q209" s="2">
        <v>137849.80100000001</v>
      </c>
      <c r="R209" s="2">
        <v>129076.967</v>
      </c>
      <c r="S209" s="2">
        <v>321708.03399999999</v>
      </c>
      <c r="T209" s="2">
        <v>141585.58600000001</v>
      </c>
      <c r="U209" s="2">
        <f>SUM(bs_rates_ovt[[#This Row],[deposits_overnight]:[other_funding]])</f>
        <v>2387439.8490000004</v>
      </c>
    </row>
    <row r="210" spans="1:21">
      <c r="A210" s="1">
        <v>44682</v>
      </c>
      <c r="B210">
        <v>216667.883</v>
      </c>
      <c r="C210">
        <v>854648.99199999997</v>
      </c>
      <c r="D210">
        <v>482610.04300000001</v>
      </c>
      <c r="E210">
        <v>83081.087</v>
      </c>
      <c r="F210">
        <v>92466.062999999995</v>
      </c>
      <c r="G210" s="3">
        <v>1331782.28</v>
      </c>
      <c r="H210">
        <v>3061256.3480000002</v>
      </c>
      <c r="I210" s="2">
        <v>6.7455555555555531</v>
      </c>
      <c r="J210" s="2">
        <v>6.64</v>
      </c>
      <c r="K210" s="2">
        <f t="shared" si="6"/>
        <v>8.64</v>
      </c>
      <c r="L210" s="2">
        <f t="shared" si="7"/>
        <v>7.14</v>
      </c>
      <c r="M210">
        <v>7.3999999999999995</v>
      </c>
      <c r="N210" s="2">
        <v>1296977.7069999999</v>
      </c>
      <c r="O210" s="2">
        <v>364399.92499999999</v>
      </c>
      <c r="P210" s="2">
        <v>5099.4110000000001</v>
      </c>
      <c r="Q210" s="2">
        <v>159845.91800000001</v>
      </c>
      <c r="R210" s="2">
        <v>130981.44899999999</v>
      </c>
      <c r="S210" s="2">
        <v>314811.06800000003</v>
      </c>
      <c r="T210" s="2">
        <v>135060.32199999999</v>
      </c>
      <c r="U210" s="2">
        <f>SUM(bs_rates_ovt[[#This Row],[deposits_overnight]:[other_funding]])</f>
        <v>2407175.8000000003</v>
      </c>
    </row>
    <row r="211" spans="1:21">
      <c r="A211" s="1">
        <v>44713</v>
      </c>
      <c r="B211">
        <v>223580.20699999999</v>
      </c>
      <c r="C211">
        <v>895904.478</v>
      </c>
      <c r="D211">
        <v>485288.65600000002</v>
      </c>
      <c r="E211">
        <v>79993.297999999995</v>
      </c>
      <c r="F211">
        <v>93847.754000000001</v>
      </c>
      <c r="G211" s="3">
        <v>1338011.237</v>
      </c>
      <c r="H211">
        <v>3116625.63</v>
      </c>
      <c r="I211" s="2">
        <v>6.9277777777777771</v>
      </c>
      <c r="J211" s="2">
        <v>7.14</v>
      </c>
      <c r="K211" s="2">
        <f t="shared" si="6"/>
        <v>9.14</v>
      </c>
      <c r="L211" s="2">
        <f t="shared" si="7"/>
        <v>7.64</v>
      </c>
      <c r="M211">
        <v>8.15</v>
      </c>
      <c r="N211" s="2">
        <v>1263474.024</v>
      </c>
      <c r="O211" s="2">
        <v>387927.04300000001</v>
      </c>
      <c r="P211" s="2">
        <v>4706.3220000000001</v>
      </c>
      <c r="Q211" s="2">
        <v>194191.465</v>
      </c>
      <c r="R211" s="2">
        <v>128007.671</v>
      </c>
      <c r="S211" s="2">
        <v>337254.58399999997</v>
      </c>
      <c r="T211" s="2">
        <v>144667.54699999999</v>
      </c>
      <c r="U211" s="2">
        <f>SUM(bs_rates_ovt[[#This Row],[deposits_overnight]:[other_funding]])</f>
        <v>2460228.656</v>
      </c>
    </row>
    <row r="212" spans="1:21">
      <c r="A212" s="1">
        <v>44743</v>
      </c>
      <c r="B212">
        <v>206110.76300000001</v>
      </c>
      <c r="C212">
        <v>964415.06099999999</v>
      </c>
      <c r="D212">
        <v>473354.19400000002</v>
      </c>
      <c r="E212">
        <v>78869.180999999997</v>
      </c>
      <c r="F212">
        <v>95032.35</v>
      </c>
      <c r="G212" s="3">
        <v>1345559.6610000001</v>
      </c>
      <c r="H212">
        <v>3163341.2100000004</v>
      </c>
      <c r="I212" s="2">
        <v>7.11</v>
      </c>
      <c r="J212" s="2">
        <v>6.37</v>
      </c>
      <c r="K212" s="2">
        <f t="shared" si="6"/>
        <v>8.370000000000001</v>
      </c>
      <c r="L212" s="2">
        <f t="shared" si="7"/>
        <v>6.87</v>
      </c>
      <c r="M212">
        <v>8.86</v>
      </c>
      <c r="N212" s="2">
        <v>1233211.246</v>
      </c>
      <c r="O212" s="2">
        <v>433202.37</v>
      </c>
      <c r="P212" s="2">
        <v>5207.1450000000004</v>
      </c>
      <c r="Q212" s="2">
        <v>201232.79</v>
      </c>
      <c r="R212" s="2">
        <v>135837.47099999999</v>
      </c>
      <c r="S212" s="2">
        <v>343646.87800000003</v>
      </c>
      <c r="T212" s="2">
        <v>137049.14799999999</v>
      </c>
      <c r="U212" s="2">
        <f>SUM(bs_rates_ovt[[#This Row],[deposits_overnight]:[other_funding]])</f>
        <v>2489387.048</v>
      </c>
    </row>
    <row r="213" spans="1:21">
      <c r="A213" s="1">
        <v>44774</v>
      </c>
      <c r="B213">
        <v>221788.318</v>
      </c>
      <c r="C213">
        <v>973013.04500000004</v>
      </c>
      <c r="D213">
        <v>473820.04100000003</v>
      </c>
      <c r="E213">
        <v>78139.163</v>
      </c>
      <c r="F213">
        <v>94950.972999999998</v>
      </c>
      <c r="G213" s="3">
        <v>1357982.64</v>
      </c>
      <c r="H213">
        <v>3199694.1799999997</v>
      </c>
      <c r="I213" s="2">
        <v>7.1633333333333331</v>
      </c>
      <c r="J213" s="2">
        <v>5.8</v>
      </c>
      <c r="K213" s="2">
        <f t="shared" si="6"/>
        <v>7.8</v>
      </c>
      <c r="L213" s="2">
        <f t="shared" si="7"/>
        <v>6.3</v>
      </c>
      <c r="M213">
        <v>7.7700000000000005</v>
      </c>
      <c r="N213" s="2">
        <v>1242119.0730000001</v>
      </c>
      <c r="O213" s="2">
        <v>459343.24800000002</v>
      </c>
      <c r="P213" s="2">
        <v>5236.3119999999999</v>
      </c>
      <c r="Q213" s="2">
        <v>193839.64799999999</v>
      </c>
      <c r="R213" s="2">
        <v>136061.503</v>
      </c>
      <c r="S213" s="2">
        <v>349828.25400000002</v>
      </c>
      <c r="T213" s="2">
        <v>141379.495</v>
      </c>
      <c r="U213" s="2">
        <f>SUM(bs_rates_ovt[[#This Row],[deposits_overnight]:[other_funding]])</f>
        <v>2527807.5330000003</v>
      </c>
    </row>
    <row r="214" spans="1:21">
      <c r="A214" s="1">
        <v>44805</v>
      </c>
      <c r="B214">
        <v>231976.05</v>
      </c>
      <c r="C214">
        <v>991773.049</v>
      </c>
      <c r="D214">
        <v>467195.66800000001</v>
      </c>
      <c r="E214">
        <v>78626.703999999998</v>
      </c>
      <c r="F214">
        <v>95353.884000000005</v>
      </c>
      <c r="G214" s="3">
        <v>1355457.5149999999</v>
      </c>
      <c r="H214">
        <v>3220382.87</v>
      </c>
      <c r="I214" s="2">
        <v>7.2166666666666668</v>
      </c>
      <c r="J214" s="2">
        <v>6.28</v>
      </c>
      <c r="K214" s="2">
        <f t="shared" si="6"/>
        <v>8.2800000000000011</v>
      </c>
      <c r="L214" s="2">
        <f t="shared" si="7"/>
        <v>6.78</v>
      </c>
      <c r="M214">
        <v>7.17</v>
      </c>
      <c r="N214" s="2">
        <v>1225102.2169999999</v>
      </c>
      <c r="O214" s="2">
        <v>495285.77500000002</v>
      </c>
      <c r="P214" s="2">
        <v>4634.3969999999999</v>
      </c>
      <c r="Q214" s="2">
        <v>186234.70199999999</v>
      </c>
      <c r="R214" s="2">
        <v>130567.485</v>
      </c>
      <c r="S214" s="2">
        <v>357488.44</v>
      </c>
      <c r="T214" s="2">
        <v>140678.63</v>
      </c>
      <c r="U214" s="2">
        <f>SUM(bs_rates_ovt[[#This Row],[deposits_overnight]:[other_funding]])</f>
        <v>2539991.6460000002</v>
      </c>
    </row>
    <row r="215" spans="1:21">
      <c r="A215" s="1">
        <v>44835</v>
      </c>
      <c r="B215">
        <v>233025.092</v>
      </c>
      <c r="C215">
        <v>964872.89800000004</v>
      </c>
      <c r="D215">
        <v>464834.61300000001</v>
      </c>
      <c r="E215">
        <v>79883.021999999997</v>
      </c>
      <c r="F215">
        <v>93893.05</v>
      </c>
      <c r="G215" s="3">
        <v>1347126.4850000001</v>
      </c>
      <c r="H215">
        <v>3183635.16</v>
      </c>
      <c r="I215" s="2">
        <v>7.27</v>
      </c>
      <c r="J215" s="2">
        <v>7.82</v>
      </c>
      <c r="K215" s="2">
        <f t="shared" si="6"/>
        <v>9.82</v>
      </c>
      <c r="L215" s="2">
        <f t="shared" si="7"/>
        <v>8.32</v>
      </c>
      <c r="M215">
        <v>7.86</v>
      </c>
      <c r="N215" s="2">
        <v>1211985.9169999999</v>
      </c>
      <c r="O215" s="2">
        <v>513718.59100000001</v>
      </c>
      <c r="P215" s="2">
        <v>4729.6220000000003</v>
      </c>
      <c r="Q215" s="2">
        <v>176536.473</v>
      </c>
      <c r="R215" s="2">
        <v>133051.22399999999</v>
      </c>
      <c r="S215" s="2">
        <v>341138.06800000003</v>
      </c>
      <c r="T215" s="2">
        <v>146717.321</v>
      </c>
      <c r="U215" s="2">
        <f>SUM(bs_rates_ovt[[#This Row],[deposits_overnight]:[other_funding]])</f>
        <v>2527877.216</v>
      </c>
    </row>
    <row r="216" spans="1:21">
      <c r="A216" s="1">
        <v>44866</v>
      </c>
      <c r="B216">
        <v>219774.96400000001</v>
      </c>
      <c r="C216">
        <v>985481.81700000004</v>
      </c>
      <c r="D216">
        <v>459299.48599999998</v>
      </c>
      <c r="E216">
        <v>78895.89</v>
      </c>
      <c r="F216">
        <v>98552.649000000005</v>
      </c>
      <c r="G216" s="3">
        <v>1333679.3929999999</v>
      </c>
      <c r="H216">
        <v>3175684.199</v>
      </c>
      <c r="I216" s="2">
        <v>7.1555555555555568</v>
      </c>
      <c r="J216" s="2">
        <v>7.24</v>
      </c>
      <c r="K216" s="2">
        <f t="shared" si="6"/>
        <v>9.24</v>
      </c>
      <c r="L216" s="2">
        <f t="shared" si="7"/>
        <v>7.74</v>
      </c>
      <c r="M216">
        <v>7.5399999999999991</v>
      </c>
      <c r="N216" s="2">
        <v>1215990.071</v>
      </c>
      <c r="O216" s="2">
        <v>524948.11800000002</v>
      </c>
      <c r="P216" s="2">
        <v>5469.4030000000002</v>
      </c>
      <c r="Q216" s="2">
        <v>173191.796</v>
      </c>
      <c r="R216" s="2">
        <v>131892.367</v>
      </c>
      <c r="S216" s="2">
        <v>331208.58399999997</v>
      </c>
      <c r="T216" s="2">
        <v>145829.78200000001</v>
      </c>
      <c r="U216" s="2">
        <f>SUM(bs_rates_ovt[[#This Row],[deposits_overnight]:[other_funding]])</f>
        <v>2528530.1210000003</v>
      </c>
    </row>
    <row r="217" spans="1:21">
      <c r="A217" s="1">
        <v>44896</v>
      </c>
      <c r="B217">
        <v>202636.435</v>
      </c>
      <c r="C217">
        <v>971075.576</v>
      </c>
      <c r="D217">
        <v>467028.429</v>
      </c>
      <c r="E217">
        <v>82151.544999999998</v>
      </c>
      <c r="F217">
        <v>97031.471999999994</v>
      </c>
      <c r="G217" s="3">
        <v>1314215.105</v>
      </c>
      <c r="H217">
        <v>3134138.5619999999</v>
      </c>
      <c r="I217" s="2">
        <v>7.0411111111111131</v>
      </c>
      <c r="J217" s="2">
        <v>6.61</v>
      </c>
      <c r="K217" s="2">
        <f t="shared" si="6"/>
        <v>8.61</v>
      </c>
      <c r="L217" s="2">
        <f t="shared" si="7"/>
        <v>7.11</v>
      </c>
      <c r="M217">
        <v>8.07</v>
      </c>
      <c r="N217" s="2">
        <v>1231193.4439999999</v>
      </c>
      <c r="O217" s="2">
        <v>520118.511</v>
      </c>
      <c r="P217" s="2">
        <v>4920.1959999999999</v>
      </c>
      <c r="Q217" s="2">
        <v>159337.86799999999</v>
      </c>
      <c r="R217" s="2">
        <v>135549.443</v>
      </c>
      <c r="S217" s="2">
        <v>331980.995</v>
      </c>
      <c r="T217" s="2">
        <v>142270.07800000001</v>
      </c>
      <c r="U217" s="2">
        <f>SUM(bs_rates_ovt[[#This Row],[deposits_overnight]:[other_funding]])</f>
        <v>2525370.5350000001</v>
      </c>
    </row>
    <row r="218" spans="1:21">
      <c r="A218" s="1">
        <v>44927</v>
      </c>
      <c r="B218">
        <v>190301.079</v>
      </c>
      <c r="C218">
        <v>982848.20499999996</v>
      </c>
      <c r="D218">
        <v>459457.49099999998</v>
      </c>
      <c r="E218">
        <v>81102.313999999998</v>
      </c>
      <c r="F218">
        <v>107816.659</v>
      </c>
      <c r="G218" s="3">
        <v>1316170.4790000001</v>
      </c>
      <c r="H218">
        <v>3137696.227</v>
      </c>
      <c r="I218" s="2">
        <v>6.9266666666666703</v>
      </c>
      <c r="J218" s="2">
        <v>6.02</v>
      </c>
      <c r="K218" s="2">
        <f t="shared" si="6"/>
        <v>8.02</v>
      </c>
      <c r="L218" s="2">
        <f t="shared" si="7"/>
        <v>6.52</v>
      </c>
      <c r="M218">
        <v>8.01</v>
      </c>
      <c r="N218" s="2">
        <v>1210965.4010000001</v>
      </c>
      <c r="O218" s="2">
        <v>549381.45400000003</v>
      </c>
      <c r="P218" s="2">
        <v>5889.7650000000003</v>
      </c>
      <c r="Q218" s="2">
        <v>147078.25</v>
      </c>
      <c r="R218" s="2">
        <v>132377.97099999999</v>
      </c>
      <c r="S218" s="2">
        <v>321235.81699999998</v>
      </c>
      <c r="T218" s="2">
        <v>149598.61600000001</v>
      </c>
      <c r="U218" s="2">
        <f>SUM(bs_rates_ovt[[#This Row],[deposits_overnight]:[other_funding]])</f>
        <v>2516527.2739999997</v>
      </c>
    </row>
    <row r="219" spans="1:21">
      <c r="A219" s="1">
        <v>44958</v>
      </c>
      <c r="B219">
        <v>195731.97500000001</v>
      </c>
      <c r="C219">
        <v>1030476.726</v>
      </c>
      <c r="D219">
        <v>471186.44</v>
      </c>
      <c r="E219">
        <v>81548.845000000001</v>
      </c>
      <c r="F219">
        <v>107677.36199999999</v>
      </c>
      <c r="G219" s="3">
        <v>1322224.075</v>
      </c>
      <c r="H219">
        <v>3208845.423</v>
      </c>
      <c r="I219" s="2">
        <v>6.91777777777778</v>
      </c>
      <c r="J219" s="2">
        <v>6.18</v>
      </c>
      <c r="K219" s="2">
        <f t="shared" si="6"/>
        <v>8.18</v>
      </c>
      <c r="L219" s="2">
        <f t="shared" si="7"/>
        <v>6.68</v>
      </c>
      <c r="M219">
        <v>9.27</v>
      </c>
      <c r="N219" s="2">
        <v>1218944.682</v>
      </c>
      <c r="O219" s="2">
        <v>577148.80099999998</v>
      </c>
      <c r="P219" s="2">
        <v>6362.6210000000001</v>
      </c>
      <c r="Q219" s="2">
        <v>162008.15700000001</v>
      </c>
      <c r="R219" s="2">
        <v>137426.78</v>
      </c>
      <c r="S219" s="2">
        <v>331419.62300000002</v>
      </c>
      <c r="T219" s="2">
        <v>152200.144</v>
      </c>
      <c r="U219" s="2">
        <f>SUM(bs_rates_ovt[[#This Row],[deposits_overnight]:[other_funding]])</f>
        <v>2585510.8079999997</v>
      </c>
    </row>
    <row r="220" spans="1:21">
      <c r="A220" s="1">
        <v>44986</v>
      </c>
      <c r="B220">
        <v>208913.902</v>
      </c>
      <c r="C220">
        <v>1003924.912</v>
      </c>
      <c r="D220">
        <v>479053.92599999998</v>
      </c>
      <c r="E220">
        <v>81637.107000000004</v>
      </c>
      <c r="F220">
        <v>96173.225999999995</v>
      </c>
      <c r="G220" s="3">
        <v>1327859.4439999999</v>
      </c>
      <c r="H220">
        <v>3197562.517</v>
      </c>
      <c r="I220" s="2">
        <v>6.9088888888888906</v>
      </c>
      <c r="J220" s="2">
        <v>6.14</v>
      </c>
      <c r="K220" s="2">
        <f t="shared" si="6"/>
        <v>8.14</v>
      </c>
      <c r="L220" s="2">
        <f t="shared" si="7"/>
        <v>6.64</v>
      </c>
      <c r="M220">
        <v>8.98</v>
      </c>
      <c r="N220" s="2">
        <v>1209652.172</v>
      </c>
      <c r="O220" s="2">
        <v>588599.451</v>
      </c>
      <c r="P220" s="2">
        <v>14808.114</v>
      </c>
      <c r="Q220" s="2">
        <v>148969.65900000001</v>
      </c>
      <c r="R220" s="2">
        <v>135701.44</v>
      </c>
      <c r="S220" s="2">
        <v>321001.67700000003</v>
      </c>
      <c r="T220" s="2">
        <v>150838.73499999999</v>
      </c>
      <c r="U220" s="2">
        <f>SUM(bs_rates_ovt[[#This Row],[deposits_overnight]:[other_funding]])</f>
        <v>2569571.2480000001</v>
      </c>
    </row>
    <row r="221" spans="1:21">
      <c r="A221" s="1">
        <v>45017</v>
      </c>
      <c r="B221">
        <v>226113.11199999999</v>
      </c>
      <c r="C221">
        <v>1017461.7659999999</v>
      </c>
      <c r="D221">
        <v>484590.06699999998</v>
      </c>
      <c r="E221">
        <v>80194.976999999999</v>
      </c>
      <c r="F221">
        <v>94742.005000000005</v>
      </c>
      <c r="G221" s="3">
        <v>1323014.5759999999</v>
      </c>
      <c r="H221">
        <v>3226116.503</v>
      </c>
      <c r="I221" s="2">
        <v>6.9</v>
      </c>
      <c r="J221" s="2">
        <v>6.07</v>
      </c>
      <c r="K221" s="2">
        <f t="shared" si="6"/>
        <v>8.07</v>
      </c>
      <c r="L221" s="2">
        <f t="shared" si="7"/>
        <v>6.57</v>
      </c>
      <c r="M221">
        <v>8.17</v>
      </c>
      <c r="N221" s="2">
        <v>1192166.186</v>
      </c>
      <c r="O221" s="2">
        <v>612389.91399999999</v>
      </c>
      <c r="P221" s="2">
        <v>11151.648999999999</v>
      </c>
      <c r="Q221" s="2">
        <v>167783.30799999999</v>
      </c>
      <c r="R221" s="2">
        <v>133123.75</v>
      </c>
      <c r="S221" s="2">
        <v>320933.05699999997</v>
      </c>
      <c r="T221" s="2">
        <v>161163.79</v>
      </c>
      <c r="U221" s="2">
        <f>SUM(bs_rates_ovt[[#This Row],[deposits_overnight]:[other_funding]])</f>
        <v>2598711.6540000001</v>
      </c>
    </row>
    <row r="222" spans="1:21">
      <c r="A222" s="1">
        <v>45047</v>
      </c>
      <c r="B222">
        <v>230178.98499999999</v>
      </c>
      <c r="C222">
        <v>1034042.164</v>
      </c>
      <c r="D222">
        <v>485343.80099999998</v>
      </c>
      <c r="E222">
        <v>79197.546000000002</v>
      </c>
      <c r="F222">
        <v>94513.24</v>
      </c>
      <c r="G222" s="3">
        <v>1321446.4879999999</v>
      </c>
      <c r="H222">
        <v>3244722.2239999999</v>
      </c>
      <c r="I222" s="2">
        <v>6.7600000000000007</v>
      </c>
      <c r="J222" s="2">
        <v>5.93</v>
      </c>
      <c r="K222" s="2">
        <f t="shared" si="6"/>
        <v>7.93</v>
      </c>
      <c r="L222" s="2">
        <f t="shared" si="7"/>
        <v>6.43</v>
      </c>
      <c r="M222">
        <v>9.0499999999999989</v>
      </c>
      <c r="N222" s="2">
        <v>1200515.7590000001</v>
      </c>
      <c r="O222" s="2">
        <v>611639.31499999994</v>
      </c>
      <c r="P222" s="2">
        <v>15270.26</v>
      </c>
      <c r="Q222" s="2">
        <v>167836.399</v>
      </c>
      <c r="R222" s="2">
        <v>141422.82500000001</v>
      </c>
      <c r="S222" s="2">
        <v>321515.32900000003</v>
      </c>
      <c r="T222" s="2">
        <v>152691.48000000001</v>
      </c>
      <c r="U222" s="2">
        <f>SUM(bs_rates_ovt[[#This Row],[deposits_overnight]:[other_funding]])</f>
        <v>2610891.3670000001</v>
      </c>
    </row>
    <row r="223" spans="1:21">
      <c r="A223" s="1">
        <v>45078</v>
      </c>
      <c r="B223">
        <v>235812.8</v>
      </c>
      <c r="C223">
        <v>1029648.339</v>
      </c>
      <c r="D223">
        <v>499860.19500000001</v>
      </c>
      <c r="E223">
        <v>78652.820000000007</v>
      </c>
      <c r="F223">
        <v>93538.101999999999</v>
      </c>
      <c r="G223" s="3">
        <v>1323165.1540000001</v>
      </c>
      <c r="H223">
        <v>3260677.41</v>
      </c>
      <c r="I223" s="2">
        <v>6.62</v>
      </c>
      <c r="J223" s="2">
        <v>5.91</v>
      </c>
      <c r="K223" s="2">
        <f t="shared" si="6"/>
        <v>7.91</v>
      </c>
      <c r="L223" s="2">
        <f t="shared" si="7"/>
        <v>6.41</v>
      </c>
      <c r="M223">
        <v>8.9599999999999991</v>
      </c>
      <c r="N223" s="2">
        <v>1200571.5759999999</v>
      </c>
      <c r="O223" s="2">
        <v>612003.51500000001</v>
      </c>
      <c r="P223" s="2">
        <v>15434.911</v>
      </c>
      <c r="Q223" s="2">
        <v>188355.07699999999</v>
      </c>
      <c r="R223" s="2">
        <v>140933.45600000001</v>
      </c>
      <c r="S223" s="2">
        <v>330944.22200000001</v>
      </c>
      <c r="T223" s="2">
        <v>151556.00700000001</v>
      </c>
      <c r="U223" s="2">
        <f>SUM(bs_rates_ovt[[#This Row],[deposits_overnight]:[other_funding]])</f>
        <v>2639798.7640000004</v>
      </c>
    </row>
    <row r="224" spans="1:21">
      <c r="A224" s="1">
        <v>45108</v>
      </c>
      <c r="B224">
        <v>239979.08799999999</v>
      </c>
      <c r="C224">
        <v>1032621.8149999999</v>
      </c>
      <c r="D224">
        <v>501753.17499999999</v>
      </c>
      <c r="E224">
        <v>78623.331000000006</v>
      </c>
      <c r="F224">
        <v>93379.222999999998</v>
      </c>
      <c r="G224" s="3">
        <v>1321712.94</v>
      </c>
      <c r="H224">
        <v>3268069.5719999997</v>
      </c>
      <c r="I224" s="2">
        <v>6.48</v>
      </c>
      <c r="J224" s="2">
        <v>5.56</v>
      </c>
      <c r="K224" s="2">
        <f t="shared" si="6"/>
        <v>7.56</v>
      </c>
      <c r="L224" s="2">
        <f t="shared" si="7"/>
        <v>6.06</v>
      </c>
      <c r="M224">
        <v>8.0299999999999994</v>
      </c>
      <c r="N224" s="2">
        <v>1217641.6270000001</v>
      </c>
      <c r="O224" s="2">
        <v>613490.49399999995</v>
      </c>
      <c r="P224" s="2">
        <v>12124.239</v>
      </c>
      <c r="Q224" s="2">
        <v>184304.111</v>
      </c>
      <c r="R224" s="2">
        <v>141416.62</v>
      </c>
      <c r="S224" s="2">
        <v>326995.05499999999</v>
      </c>
      <c r="T224" s="2">
        <v>146361.85500000001</v>
      </c>
      <c r="U224" s="2">
        <f>SUM(bs_rates_ovt[[#This Row],[deposits_overnight]:[other_funding]])</f>
        <v>2642334.0010000002</v>
      </c>
    </row>
    <row r="225" spans="1:21">
      <c r="A225" s="1">
        <v>45139</v>
      </c>
      <c r="B225">
        <v>234634.14199999999</v>
      </c>
      <c r="C225">
        <v>1062329.892</v>
      </c>
      <c r="D225">
        <v>507300.82400000002</v>
      </c>
      <c r="E225">
        <v>78781.740000000005</v>
      </c>
      <c r="F225">
        <v>93985.134999999995</v>
      </c>
      <c r="G225" s="3">
        <v>1315411.338</v>
      </c>
      <c r="H225">
        <v>3292443.071</v>
      </c>
      <c r="I225" s="2">
        <v>6.2422222222222237</v>
      </c>
      <c r="J225" s="2">
        <v>5.59</v>
      </c>
      <c r="K225" s="2">
        <f t="shared" si="6"/>
        <v>7.59</v>
      </c>
      <c r="L225" s="2">
        <f t="shared" si="7"/>
        <v>6.09</v>
      </c>
      <c r="M225">
        <v>9.0300000000000011</v>
      </c>
      <c r="N225" s="2">
        <v>1243826.334</v>
      </c>
      <c r="O225" s="2">
        <v>610506.51199999999</v>
      </c>
      <c r="P225" s="2">
        <v>8036.1859999999997</v>
      </c>
      <c r="Q225" s="2">
        <v>182723.886</v>
      </c>
      <c r="R225" s="2">
        <v>143367.39199999999</v>
      </c>
      <c r="S225" s="2">
        <v>330641.94300000003</v>
      </c>
      <c r="T225" s="2">
        <v>139627.829</v>
      </c>
      <c r="U225" s="2">
        <f>SUM(bs_rates_ovt[[#This Row],[deposits_overnight]:[other_funding]])</f>
        <v>2658730.0819999995</v>
      </c>
    </row>
    <row r="226" spans="1:21">
      <c r="A226" s="1">
        <v>45170</v>
      </c>
      <c r="B226">
        <v>226426.296</v>
      </c>
      <c r="C226">
        <v>1116415.4469999999</v>
      </c>
      <c r="D226">
        <v>521024.21299999999</v>
      </c>
      <c r="E226">
        <v>79314.929000000004</v>
      </c>
      <c r="F226">
        <v>95866.672000000006</v>
      </c>
      <c r="G226" s="3">
        <v>1332249.0619999999</v>
      </c>
      <c r="H226">
        <v>3371296.6189999999</v>
      </c>
      <c r="I226" s="2">
        <v>6.0044444444444469</v>
      </c>
      <c r="J226" s="2">
        <v>5.68</v>
      </c>
      <c r="K226" s="2">
        <f t="shared" si="6"/>
        <v>7.68</v>
      </c>
      <c r="L226" s="2">
        <f t="shared" si="7"/>
        <v>6.18</v>
      </c>
      <c r="M226">
        <v>8.91</v>
      </c>
      <c r="N226" s="2">
        <v>1259579.3</v>
      </c>
      <c r="O226" s="2">
        <v>629867.03200000001</v>
      </c>
      <c r="P226" s="2">
        <v>5231.3059999999996</v>
      </c>
      <c r="Q226" s="2">
        <v>169690.837</v>
      </c>
      <c r="R226" s="2">
        <v>151794.69699999999</v>
      </c>
      <c r="S226" s="2">
        <v>351560.125</v>
      </c>
      <c r="T226" s="2">
        <v>142430.18599999999</v>
      </c>
      <c r="U226" s="2">
        <f>SUM(bs_rates_ovt[[#This Row],[deposits_overnight]:[other_funding]])</f>
        <v>2710153.483</v>
      </c>
    </row>
    <row r="227" spans="1:21">
      <c r="A227" s="1">
        <v>45200</v>
      </c>
      <c r="B227">
        <v>247309.913</v>
      </c>
      <c r="C227">
        <v>1063723.294</v>
      </c>
      <c r="D227">
        <v>523761.09100000001</v>
      </c>
      <c r="E227">
        <v>79637.591</v>
      </c>
      <c r="F227">
        <v>95069.807000000001</v>
      </c>
      <c r="G227" s="3">
        <v>1318017.6310000001</v>
      </c>
      <c r="H227">
        <v>3327519.327</v>
      </c>
      <c r="I227" s="2">
        <v>5.7666666666666702</v>
      </c>
      <c r="J227" s="2">
        <v>5.84</v>
      </c>
      <c r="K227" s="2">
        <f t="shared" si="6"/>
        <v>7.84</v>
      </c>
      <c r="L227" s="2">
        <f t="shared" si="7"/>
        <v>6.34</v>
      </c>
      <c r="M227">
        <v>7.8</v>
      </c>
      <c r="N227" s="2">
        <v>1259636.5260000001</v>
      </c>
      <c r="O227" s="2">
        <v>635370.31200000003</v>
      </c>
      <c r="P227" s="2">
        <v>7368.58</v>
      </c>
      <c r="Q227" s="2">
        <v>163486.05799999999</v>
      </c>
      <c r="R227" s="2">
        <v>151092.071</v>
      </c>
      <c r="S227" s="2">
        <v>326983.75799999997</v>
      </c>
      <c r="T227" s="2">
        <v>132952.31400000001</v>
      </c>
      <c r="U227" s="2">
        <f>SUM(bs_rates_ovt[[#This Row],[deposits_overnight]:[other_funding]])</f>
        <v>2676889.6189999999</v>
      </c>
    </row>
    <row r="228" spans="1:21">
      <c r="A228" s="1">
        <v>45231</v>
      </c>
      <c r="B228">
        <v>256520.61300000001</v>
      </c>
      <c r="C228">
        <v>1062945.2409999999</v>
      </c>
      <c r="D228">
        <v>535846.25899999996</v>
      </c>
      <c r="E228">
        <v>80993.497000000003</v>
      </c>
      <c r="F228">
        <v>95590.721999999994</v>
      </c>
      <c r="G228" s="3">
        <v>1311129.274</v>
      </c>
      <c r="H228">
        <v>3343025.6059999997</v>
      </c>
      <c r="I228" s="2">
        <v>5.7988888888888903</v>
      </c>
      <c r="J228" s="2">
        <v>5.54</v>
      </c>
      <c r="K228" s="2">
        <f t="shared" si="6"/>
        <v>7.54</v>
      </c>
      <c r="L228" s="2">
        <f t="shared" si="7"/>
        <v>6.04</v>
      </c>
      <c r="M228">
        <v>8.5</v>
      </c>
      <c r="N228" s="2">
        <v>1269884.227</v>
      </c>
      <c r="O228" s="2">
        <v>627034.22600000002</v>
      </c>
      <c r="P228" s="2">
        <v>6875.6390000000001</v>
      </c>
      <c r="Q228" s="2">
        <v>173648.245</v>
      </c>
      <c r="R228" s="2">
        <v>152824.201</v>
      </c>
      <c r="S228" s="2">
        <v>339329.212</v>
      </c>
      <c r="T228" s="2">
        <v>132008.842</v>
      </c>
      <c r="U228" s="2">
        <f>SUM(bs_rates_ovt[[#This Row],[deposits_overnight]:[other_funding]])</f>
        <v>2701604.5919999997</v>
      </c>
    </row>
    <row r="229" spans="1:21">
      <c r="A229" s="1">
        <v>45261</v>
      </c>
      <c r="B229">
        <v>219123.6</v>
      </c>
      <c r="C229">
        <v>1074181.3799999999</v>
      </c>
      <c r="D229">
        <v>550213.42599999998</v>
      </c>
      <c r="E229">
        <v>84723.127999999997</v>
      </c>
      <c r="F229">
        <v>102956.05499999999</v>
      </c>
      <c r="G229" s="3">
        <v>1308194.93</v>
      </c>
      <c r="H229">
        <v>3339392.5189999999</v>
      </c>
      <c r="I229" s="2">
        <v>5.8311111111111096</v>
      </c>
      <c r="J229" s="2">
        <v>5.21</v>
      </c>
      <c r="K229" s="2">
        <f t="shared" si="6"/>
        <v>7.21</v>
      </c>
      <c r="L229" s="2">
        <f t="shared" si="7"/>
        <v>5.71</v>
      </c>
      <c r="M229">
        <v>8.09</v>
      </c>
      <c r="N229" s="2">
        <v>1322525.77</v>
      </c>
      <c r="O229" s="2">
        <v>601190.32900000003</v>
      </c>
      <c r="P229" s="2">
        <v>5387.3410000000003</v>
      </c>
      <c r="Q229" s="2">
        <v>163749.96599999999</v>
      </c>
      <c r="R229" s="2">
        <v>156497.476</v>
      </c>
      <c r="S229" s="2">
        <v>340112.87400000001</v>
      </c>
      <c r="T229" s="2">
        <v>134926.01</v>
      </c>
      <c r="U229" s="2">
        <f>SUM(bs_rates_ovt[[#This Row],[deposits_overnight]:[other_funding]])</f>
        <v>2724389.7659999998</v>
      </c>
    </row>
    <row r="230" spans="1:21">
      <c r="A230" s="1">
        <v>45292</v>
      </c>
      <c r="B230">
        <v>225894.29399999999</v>
      </c>
      <c r="C230">
        <v>1078510.702</v>
      </c>
      <c r="D230">
        <v>560197.02399999998</v>
      </c>
      <c r="E230">
        <v>81913.078999999998</v>
      </c>
      <c r="F230">
        <v>102567.067</v>
      </c>
      <c r="G230" s="3">
        <v>1311409.182</v>
      </c>
      <c r="H230">
        <v>3360491.3480000002</v>
      </c>
      <c r="I230" s="2">
        <v>5.8633333333333297</v>
      </c>
      <c r="J230" s="2">
        <v>5.24</v>
      </c>
      <c r="K230" s="2">
        <f t="shared" si="6"/>
        <v>7.24</v>
      </c>
      <c r="L230" s="2">
        <f t="shared" si="7"/>
        <v>5.74</v>
      </c>
      <c r="M230">
        <v>8.48</v>
      </c>
      <c r="N230" s="2">
        <v>1293875.2220000001</v>
      </c>
      <c r="O230" s="2">
        <v>618198.85800000001</v>
      </c>
      <c r="P230" s="2">
        <v>8591.3989999999994</v>
      </c>
      <c r="Q230" s="2">
        <v>205274.16800000001</v>
      </c>
      <c r="R230" s="2">
        <v>153439.935</v>
      </c>
      <c r="S230" s="2">
        <v>330362.03100000002</v>
      </c>
      <c r="T230" s="2">
        <v>127884.717</v>
      </c>
      <c r="U230" s="2">
        <f>SUM(bs_rates_ovt[[#This Row],[deposits_overnight]:[other_funding]])</f>
        <v>2737626.33</v>
      </c>
    </row>
    <row r="231" spans="1:21">
      <c r="A231" s="1">
        <v>45323</v>
      </c>
      <c r="B231">
        <v>234092.204</v>
      </c>
      <c r="C231">
        <v>1075706.7479999999</v>
      </c>
      <c r="D231">
        <v>578428.70499999996</v>
      </c>
      <c r="E231">
        <v>80929.885999999999</v>
      </c>
      <c r="F231">
        <v>101630.268</v>
      </c>
      <c r="G231" s="3">
        <v>1314519.83</v>
      </c>
      <c r="H231">
        <v>3385307.6409999998</v>
      </c>
      <c r="I231" s="2">
        <v>5.8588888888888864</v>
      </c>
      <c r="J231" s="2">
        <v>5.36</v>
      </c>
      <c r="K231" s="2">
        <f t="shared" si="6"/>
        <v>7.36</v>
      </c>
      <c r="L231" s="2">
        <f t="shared" si="7"/>
        <v>5.86</v>
      </c>
      <c r="M231">
        <v>8.64</v>
      </c>
      <c r="N231" s="2">
        <v>1310717.96</v>
      </c>
      <c r="O231" s="2">
        <v>629831.78300000005</v>
      </c>
      <c r="P231" s="2">
        <v>9250.268</v>
      </c>
      <c r="Q231" s="2">
        <v>198125.595</v>
      </c>
      <c r="R231" s="2">
        <v>153575.36600000001</v>
      </c>
      <c r="S231" s="2">
        <v>330466.79800000001</v>
      </c>
      <c r="T231" s="2">
        <v>128298.713</v>
      </c>
      <c r="U231" s="2">
        <f>SUM(bs_rates_ovt[[#This Row],[deposits_overnight]:[other_funding]])</f>
        <v>2760266.483</v>
      </c>
    </row>
    <row r="232" spans="1:21">
      <c r="A232" s="1">
        <v>45352</v>
      </c>
      <c r="B232">
        <v>239085.18799999999</v>
      </c>
      <c r="C232">
        <v>1126562.4110000001</v>
      </c>
      <c r="D232">
        <v>596041.61899999995</v>
      </c>
      <c r="E232">
        <v>64592.875</v>
      </c>
      <c r="F232">
        <v>100680.03599999999</v>
      </c>
      <c r="G232" s="3">
        <v>1326331.798</v>
      </c>
      <c r="H232">
        <v>3453293.9270000001</v>
      </c>
      <c r="I232" s="2">
        <v>5.854444444444443</v>
      </c>
      <c r="J232" s="2">
        <v>5.4</v>
      </c>
      <c r="K232" s="2">
        <f t="shared" si="6"/>
        <v>7.4</v>
      </c>
      <c r="L232" s="2">
        <f t="shared" si="7"/>
        <v>5.9</v>
      </c>
      <c r="M232">
        <v>8.5500000000000007</v>
      </c>
      <c r="N232" s="2">
        <v>1302701.281</v>
      </c>
      <c r="O232" s="2">
        <v>624387.45900000003</v>
      </c>
      <c r="P232" s="2">
        <v>9039.2469999999994</v>
      </c>
      <c r="Q232" s="2">
        <v>235671.954</v>
      </c>
      <c r="R232" s="2">
        <v>164382.932</v>
      </c>
      <c r="S232" s="2">
        <v>339831.70600000001</v>
      </c>
      <c r="T232" s="2">
        <v>135490.41800000001</v>
      </c>
      <c r="U232" s="2">
        <f>SUM(bs_rates_ovt[[#This Row],[deposits_overnight]:[other_funding]])</f>
        <v>2811504.997</v>
      </c>
    </row>
    <row r="233" spans="1:21">
      <c r="A233" s="1">
        <v>45383</v>
      </c>
      <c r="B233">
        <v>247685.09700000001</v>
      </c>
      <c r="C233">
        <v>1155776.889</v>
      </c>
      <c r="D233">
        <v>589460.56599999999</v>
      </c>
      <c r="E233">
        <v>65627.547999999995</v>
      </c>
      <c r="F233">
        <v>100876.749</v>
      </c>
      <c r="G233" s="3">
        <v>1333130.436</v>
      </c>
      <c r="H233">
        <v>3492557.2850000001</v>
      </c>
      <c r="I233" s="2">
        <v>5.85</v>
      </c>
      <c r="J233" s="2">
        <v>5.67</v>
      </c>
      <c r="K233" s="2">
        <f t="shared" si="6"/>
        <v>7.67</v>
      </c>
      <c r="L233" s="2">
        <f t="shared" si="7"/>
        <v>6.17</v>
      </c>
      <c r="M233">
        <v>8.59</v>
      </c>
      <c r="N233" s="2">
        <v>1312780.68</v>
      </c>
      <c r="O233" s="2">
        <v>633174.03700000001</v>
      </c>
      <c r="P233" s="2">
        <v>8465.3580000000002</v>
      </c>
      <c r="Q233" s="2">
        <v>245594.861</v>
      </c>
      <c r="R233" s="2">
        <v>165801.807</v>
      </c>
      <c r="S233" s="2">
        <v>341061.37900000002</v>
      </c>
      <c r="T233" s="2">
        <v>142324.66699999999</v>
      </c>
      <c r="U233" s="2">
        <f>SUM(bs_rates_ovt[[#This Row],[deposits_overnight]:[other_funding]])</f>
        <v>2849202.7889999999</v>
      </c>
    </row>
    <row r="234" spans="1:21">
      <c r="A234" s="1">
        <v>45413</v>
      </c>
      <c r="B234">
        <v>250460.166</v>
      </c>
      <c r="C234">
        <v>1139502.99</v>
      </c>
      <c r="D234">
        <v>588242.13500000001</v>
      </c>
      <c r="E234">
        <v>65068.97</v>
      </c>
      <c r="F234">
        <v>100573.034</v>
      </c>
      <c r="G234" s="3">
        <v>1338744.6440000001</v>
      </c>
      <c r="H234">
        <v>3482591.9390000002</v>
      </c>
      <c r="I234" s="2">
        <v>5.85111111111111</v>
      </c>
      <c r="J234" s="2">
        <v>5.67</v>
      </c>
      <c r="K234" s="2">
        <f t="shared" si="6"/>
        <v>7.67</v>
      </c>
      <c r="L234" s="2">
        <f t="shared" si="7"/>
        <v>6.17</v>
      </c>
      <c r="M234">
        <v>8.5299999999999994</v>
      </c>
      <c r="N234" s="2">
        <v>1330996.952</v>
      </c>
      <c r="O234" s="2">
        <v>636609.326</v>
      </c>
      <c r="P234" s="2">
        <v>9404.8580000000002</v>
      </c>
      <c r="Q234" s="2">
        <v>234131.23</v>
      </c>
      <c r="R234" s="2">
        <v>171577.44500000001</v>
      </c>
      <c r="S234" s="2">
        <v>332009.489</v>
      </c>
      <c r="T234" s="2">
        <v>127729.486</v>
      </c>
      <c r="U234" s="2">
        <f>SUM(bs_rates_ovt[[#This Row],[deposits_overnight]:[other_funding]])</f>
        <v>2842458.7859999998</v>
      </c>
    </row>
    <row r="235" spans="1:21">
      <c r="A235" s="1">
        <v>45444</v>
      </c>
      <c r="B235">
        <v>246799.27</v>
      </c>
      <c r="C235">
        <v>1153571.872</v>
      </c>
      <c r="D235">
        <v>596162.73400000005</v>
      </c>
      <c r="E235">
        <v>64913.79</v>
      </c>
      <c r="F235">
        <v>101049.386</v>
      </c>
      <c r="G235" s="3">
        <v>1354158.2919999999</v>
      </c>
      <c r="H235">
        <v>3516655.344</v>
      </c>
      <c r="I235" s="2">
        <v>5.8522222222222195</v>
      </c>
      <c r="J235" s="2">
        <v>5.73</v>
      </c>
      <c r="K235" s="2">
        <f t="shared" si="6"/>
        <v>7.73</v>
      </c>
      <c r="L235" s="2">
        <f t="shared" si="7"/>
        <v>6.23</v>
      </c>
      <c r="M235">
        <v>8.42</v>
      </c>
      <c r="N235" s="2">
        <v>1341069.0260000001</v>
      </c>
      <c r="O235" s="2">
        <v>626974.25100000005</v>
      </c>
      <c r="P235" s="2">
        <v>13308.477000000001</v>
      </c>
      <c r="Q235" s="2">
        <v>229933.948</v>
      </c>
      <c r="R235" s="2">
        <v>179226.995</v>
      </c>
      <c r="S235" s="2">
        <v>333556.04599999997</v>
      </c>
      <c r="T235" s="2">
        <v>139929.79300000001</v>
      </c>
      <c r="U235" s="2">
        <f>SUM(bs_rates_ovt[[#This Row],[deposits_overnight]:[other_funding]])</f>
        <v>2863998.5360000003</v>
      </c>
    </row>
    <row r="236" spans="1:21">
      <c r="A236" s="1">
        <v>45474</v>
      </c>
      <c r="B236">
        <v>254141.28200000001</v>
      </c>
      <c r="C236">
        <v>1150447.2309999999</v>
      </c>
      <c r="D236">
        <v>598047.94999999995</v>
      </c>
      <c r="E236">
        <v>63483.053</v>
      </c>
      <c r="F236">
        <v>102305.85400000001</v>
      </c>
      <c r="G236" s="3">
        <v>1351394.9480000001</v>
      </c>
      <c r="H236">
        <v>3519820.318</v>
      </c>
      <c r="I236" s="2">
        <v>5.8533333333333299</v>
      </c>
      <c r="J236" s="2">
        <v>5.65</v>
      </c>
      <c r="K236" s="2">
        <f t="shared" si="6"/>
        <v>7.65</v>
      </c>
      <c r="L236" s="2">
        <f t="shared" si="7"/>
        <v>6.15</v>
      </c>
      <c r="M236">
        <v>8.33</v>
      </c>
      <c r="N236" s="2">
        <v>1353699.523</v>
      </c>
      <c r="O236" s="2">
        <v>632154.08600000001</v>
      </c>
      <c r="P236" s="2">
        <v>8779.5249999999996</v>
      </c>
      <c r="Q236" s="2">
        <v>217253.674</v>
      </c>
      <c r="R236" s="2">
        <v>195032.55499999999</v>
      </c>
      <c r="S236" s="2">
        <v>324608.54599999997</v>
      </c>
      <c r="T236" s="2">
        <v>128978.40700000001</v>
      </c>
      <c r="U236" s="2">
        <f>SUM(bs_rates_ovt[[#This Row],[deposits_overnight]:[other_funding]])</f>
        <v>2860506.3160000006</v>
      </c>
    </row>
    <row r="237" spans="1:21">
      <c r="A237" s="1">
        <v>45505</v>
      </c>
      <c r="B237">
        <v>263130.88500000001</v>
      </c>
      <c r="C237">
        <v>1153620.9739999999</v>
      </c>
      <c r="D237">
        <v>606709.56900000002</v>
      </c>
      <c r="E237">
        <v>63200.51</v>
      </c>
      <c r="F237">
        <v>102353.63099999999</v>
      </c>
      <c r="G237" s="3">
        <v>1360443.5279999999</v>
      </c>
      <c r="H237">
        <v>3549459.0969999996</v>
      </c>
      <c r="I237" s="2">
        <v>5.8522222222222195</v>
      </c>
      <c r="J237" s="2">
        <v>5.28</v>
      </c>
      <c r="K237" s="2">
        <f t="shared" si="6"/>
        <v>7.28</v>
      </c>
      <c r="L237" s="2">
        <f t="shared" si="7"/>
        <v>5.78</v>
      </c>
      <c r="M237">
        <v>8.41</v>
      </c>
      <c r="N237" s="2">
        <v>1342942.4979999999</v>
      </c>
      <c r="O237" s="2">
        <v>648194.076</v>
      </c>
      <c r="P237" s="2">
        <v>10469.86</v>
      </c>
      <c r="Q237" s="2">
        <v>227663.00200000001</v>
      </c>
      <c r="R237" s="2">
        <v>192840.53700000001</v>
      </c>
      <c r="S237" s="2">
        <v>328697.52899999998</v>
      </c>
      <c r="T237" s="2">
        <v>128071.178</v>
      </c>
      <c r="U237" s="2">
        <f>SUM(bs_rates_ovt[[#This Row],[deposits_overnight]:[other_funding]])</f>
        <v>2878878.68</v>
      </c>
    </row>
    <row r="238" spans="1:21">
      <c r="A238" s="1">
        <v>45536</v>
      </c>
      <c r="B238">
        <v>270938.77100000001</v>
      </c>
      <c r="C238">
        <v>1168986.639</v>
      </c>
      <c r="D238">
        <v>622205.51</v>
      </c>
      <c r="E238">
        <v>63060.682999999997</v>
      </c>
      <c r="F238">
        <v>103841.466</v>
      </c>
      <c r="G238" s="3">
        <v>1365946.1059999999</v>
      </c>
      <c r="H238">
        <v>3594979.1749999998</v>
      </c>
      <c r="I238" s="2">
        <v>5.85111111111111</v>
      </c>
      <c r="J238" s="2">
        <v>5.31</v>
      </c>
      <c r="K238" s="2">
        <f t="shared" si="6"/>
        <v>7.31</v>
      </c>
      <c r="L238" s="2">
        <f t="shared" si="7"/>
        <v>5.81</v>
      </c>
      <c r="M238">
        <v>8.42</v>
      </c>
      <c r="N238" s="2">
        <v>1370616.635</v>
      </c>
      <c r="O238" s="2">
        <v>628929.77</v>
      </c>
      <c r="P238" s="2">
        <v>9077.91</v>
      </c>
      <c r="Q238" s="2">
        <v>227877.266</v>
      </c>
      <c r="R238" s="2">
        <v>214231.06700000001</v>
      </c>
      <c r="S238" s="2">
        <v>328340.50900000002</v>
      </c>
      <c r="T238" s="2">
        <v>130547.182</v>
      </c>
      <c r="U238" s="2">
        <f>SUM(bs_rates_ovt[[#This Row],[deposits_overnight]:[other_funding]])</f>
        <v>2909620.3389999997</v>
      </c>
    </row>
    <row r="239" spans="1:21">
      <c r="A239" s="1">
        <v>45566</v>
      </c>
      <c r="B239">
        <v>267852.95400000003</v>
      </c>
      <c r="C239">
        <v>1216342.5730000001</v>
      </c>
      <c r="D239">
        <v>611380.19299999997</v>
      </c>
      <c r="E239">
        <v>64377.080999999998</v>
      </c>
      <c r="F239">
        <v>105019.88499999999</v>
      </c>
      <c r="G239" s="3">
        <v>1372868.399</v>
      </c>
      <c r="H239">
        <v>3637841.085</v>
      </c>
      <c r="I239" s="2">
        <v>5.85</v>
      </c>
      <c r="J239" s="2">
        <v>5.6</v>
      </c>
      <c r="K239" s="2">
        <f t="shared" si="6"/>
        <v>7.6</v>
      </c>
      <c r="L239" s="2">
        <f t="shared" si="7"/>
        <v>6.1</v>
      </c>
      <c r="M239">
        <v>8.39</v>
      </c>
      <c r="N239" s="2">
        <v>1369597.04</v>
      </c>
      <c r="O239" s="2">
        <v>662971.69799999997</v>
      </c>
      <c r="P239" s="2">
        <v>8896.884</v>
      </c>
      <c r="Q239" s="2">
        <v>211645.291</v>
      </c>
      <c r="R239" s="2">
        <v>218537.57500000001</v>
      </c>
      <c r="S239" s="2">
        <v>338741.67800000001</v>
      </c>
      <c r="T239" s="2">
        <v>124315.107</v>
      </c>
      <c r="U239" s="2">
        <f>SUM(bs_rates_ovt[[#This Row],[deposits_overnight]:[other_funding]])</f>
        <v>2934705.273</v>
      </c>
    </row>
    <row r="240" spans="1:21">
      <c r="A240" s="1">
        <v>45597</v>
      </c>
      <c r="B240">
        <v>278737.57799999998</v>
      </c>
      <c r="C240">
        <v>1252625.7</v>
      </c>
      <c r="D240">
        <v>625920.63300000003</v>
      </c>
      <c r="E240">
        <v>64454.351999999999</v>
      </c>
      <c r="F240">
        <v>105950.092</v>
      </c>
      <c r="G240" s="3">
        <v>1380707.4129999999</v>
      </c>
      <c r="H240">
        <v>3708395.7680000002</v>
      </c>
      <c r="I240" s="2">
        <v>5.8522222222222231</v>
      </c>
      <c r="J240" s="2">
        <v>5.66</v>
      </c>
      <c r="K240" s="2">
        <f t="shared" si="6"/>
        <v>7.66</v>
      </c>
      <c r="L240" s="2">
        <f t="shared" si="7"/>
        <v>6.16</v>
      </c>
      <c r="M240">
        <v>8.5299999999999994</v>
      </c>
      <c r="N240" s="2">
        <v>1385184.031</v>
      </c>
      <c r="O240" s="2">
        <v>662636.02099999995</v>
      </c>
      <c r="P240" s="2">
        <v>8796.4940000000006</v>
      </c>
      <c r="Q240" s="2">
        <v>222665.913</v>
      </c>
      <c r="R240" s="2">
        <v>218695.44099999999</v>
      </c>
      <c r="S240" s="2">
        <v>365698.03899999999</v>
      </c>
      <c r="T240" s="2">
        <v>130951.924</v>
      </c>
      <c r="U240" s="2">
        <f>SUM(bs_rates_ovt[[#This Row],[deposits_overnight]:[other_funding]])</f>
        <v>2994627.8629999999</v>
      </c>
    </row>
    <row r="241" spans="1:21">
      <c r="A241" s="1">
        <v>45627</v>
      </c>
      <c r="B241">
        <v>289166.97700000001</v>
      </c>
      <c r="C241">
        <v>1242141.054</v>
      </c>
      <c r="D241">
        <v>638680.44299999997</v>
      </c>
      <c r="E241">
        <v>68284.926999999996</v>
      </c>
      <c r="F241">
        <v>113534.758</v>
      </c>
      <c r="G241" s="3">
        <v>1371039.1529999999</v>
      </c>
      <c r="H241">
        <v>3722847.3119999999</v>
      </c>
      <c r="I241" s="2">
        <v>5.8544444444444466</v>
      </c>
      <c r="J241" s="2">
        <v>5.73</v>
      </c>
      <c r="K241" s="2">
        <f t="shared" si="6"/>
        <v>7.73</v>
      </c>
      <c r="L241" s="2">
        <f t="shared" si="7"/>
        <v>6.23</v>
      </c>
      <c r="M241">
        <v>8.44</v>
      </c>
      <c r="N241" s="2">
        <v>1459394.1850000001</v>
      </c>
      <c r="O241" s="2">
        <v>634405.28200000001</v>
      </c>
      <c r="P241" s="2">
        <v>5986.2209999999995</v>
      </c>
      <c r="Q241" s="2">
        <v>204765.52</v>
      </c>
      <c r="R241" s="2">
        <v>218781.894</v>
      </c>
      <c r="S241" s="2">
        <v>372241.21399999998</v>
      </c>
      <c r="T241" s="2">
        <v>127987.626</v>
      </c>
      <c r="U241" s="2">
        <f>SUM(bs_rates_ovt[[#This Row],[deposits_overnight]:[other_funding]])</f>
        <v>3023561.9420000003</v>
      </c>
    </row>
    <row r="242" spans="1:21">
      <c r="A242" s="1">
        <v>45658</v>
      </c>
      <c r="B242">
        <v>299015.489</v>
      </c>
      <c r="C242">
        <v>1259768.3189999999</v>
      </c>
      <c r="D242">
        <v>666830.53300000005</v>
      </c>
      <c r="E242">
        <v>66364.835999999996</v>
      </c>
      <c r="F242">
        <v>112930.444</v>
      </c>
      <c r="G242" s="3">
        <v>1370276.4779999999</v>
      </c>
      <c r="H242">
        <v>3775186.0990000004</v>
      </c>
      <c r="I242" s="2">
        <v>5.85666666666667</v>
      </c>
      <c r="J242" s="2">
        <v>5.94</v>
      </c>
      <c r="K242" s="2">
        <f t="shared" si="6"/>
        <v>7.94</v>
      </c>
      <c r="L242" s="2">
        <f t="shared" si="7"/>
        <v>6.44</v>
      </c>
      <c r="M242">
        <v>8.5400000000000009</v>
      </c>
      <c r="N242" s="2">
        <v>1408267.8810000001</v>
      </c>
      <c r="O242" s="2">
        <v>676950.15899999999</v>
      </c>
      <c r="P242" s="2">
        <v>5899.04</v>
      </c>
      <c r="Q242" s="2">
        <v>252282.258</v>
      </c>
      <c r="R242" s="2">
        <v>218343.45600000001</v>
      </c>
      <c r="S242" s="2">
        <v>362491.13099999999</v>
      </c>
      <c r="T242" s="2">
        <v>143269.60800000001</v>
      </c>
      <c r="U242" s="2">
        <f>SUM(bs_rates_ovt[[#This Row],[deposits_overnight]:[other_funding]])</f>
        <v>3067503.5329999998</v>
      </c>
    </row>
    <row r="243" spans="1:21">
      <c r="A243" s="1">
        <v>45689</v>
      </c>
      <c r="B243">
        <v>304245.31199999998</v>
      </c>
      <c r="C243">
        <v>1268912.551</v>
      </c>
      <c r="D243">
        <v>688366.19400000002</v>
      </c>
      <c r="E243">
        <v>65887.717999999993</v>
      </c>
      <c r="F243">
        <v>111629.857</v>
      </c>
      <c r="G243" s="3">
        <v>1379878.8370000001</v>
      </c>
      <c r="H243">
        <v>3818920.4689999996</v>
      </c>
      <c r="I243" s="2">
        <v>5.6900000000000031</v>
      </c>
      <c r="J243" s="2">
        <v>5.83</v>
      </c>
      <c r="K243" s="2">
        <f t="shared" si="6"/>
        <v>7.83</v>
      </c>
      <c r="L243" s="2">
        <f t="shared" si="7"/>
        <v>6.33</v>
      </c>
      <c r="M243">
        <v>8.7200000000000006</v>
      </c>
      <c r="N243" s="2">
        <v>1427926.3829999999</v>
      </c>
      <c r="O243" s="2">
        <v>683482.71200000006</v>
      </c>
      <c r="P243" s="2">
        <v>5991.0339999999997</v>
      </c>
      <c r="Q243" s="2">
        <v>272751.66399999999</v>
      </c>
      <c r="R243" s="2">
        <v>218080.878</v>
      </c>
      <c r="S243" s="2">
        <v>350915.25300000003</v>
      </c>
      <c r="T243" s="2">
        <v>143627.492</v>
      </c>
      <c r="U243" s="2">
        <f>SUM(bs_rates_ovt[[#This Row],[deposits_overnight]:[other_funding]])</f>
        <v>3102775.4159999997</v>
      </c>
    </row>
    <row r="244" spans="1:21">
      <c r="A244" s="1">
        <v>45717</v>
      </c>
      <c r="B244">
        <v>316220.36300000001</v>
      </c>
      <c r="C244">
        <v>1279388.922</v>
      </c>
      <c r="D244">
        <v>704444.10800000001</v>
      </c>
      <c r="E244">
        <v>49209.158000000003</v>
      </c>
      <c r="F244">
        <v>110711.875</v>
      </c>
      <c r="G244" s="3">
        <v>1390828.368</v>
      </c>
      <c r="H244">
        <v>3850802.7939999998</v>
      </c>
      <c r="I244" s="2">
        <v>5.523333333333337</v>
      </c>
      <c r="J244" s="2">
        <v>5.86</v>
      </c>
      <c r="K244" s="2">
        <f t="shared" si="6"/>
        <v>7.86</v>
      </c>
      <c r="L244" s="2">
        <f t="shared" si="7"/>
        <v>6.36</v>
      </c>
      <c r="M244">
        <v>8.57</v>
      </c>
      <c r="N244" s="2">
        <v>1446423.9539999999</v>
      </c>
      <c r="O244" s="2">
        <v>677189.03599999996</v>
      </c>
      <c r="P244" s="2">
        <v>7305.3119999999999</v>
      </c>
      <c r="Q244" s="2">
        <v>264895.929</v>
      </c>
      <c r="R244" s="2">
        <v>228039.51500000001</v>
      </c>
      <c r="S244" s="2">
        <v>348813.24699999997</v>
      </c>
      <c r="T244" s="2">
        <v>147883.40900000001</v>
      </c>
      <c r="U244" s="2">
        <f>SUM(bs_rates_ovt[[#This Row],[deposits_overnight]:[other_funding]])</f>
        <v>3120550.4019999998</v>
      </c>
    </row>
    <row r="245" spans="1:21">
      <c r="A245" s="1">
        <v>45748</v>
      </c>
      <c r="B245">
        <v>329921.24</v>
      </c>
      <c r="C245">
        <v>1291531.3470000001</v>
      </c>
      <c r="D245">
        <v>706555.875</v>
      </c>
      <c r="E245">
        <v>50371.904999999999</v>
      </c>
      <c r="F245">
        <v>111788.886</v>
      </c>
      <c r="G245" s="3">
        <v>1404486.773</v>
      </c>
      <c r="H245">
        <v>3894656.0260000001</v>
      </c>
      <c r="I245" s="2">
        <v>5.35666666666667</v>
      </c>
      <c r="J245" s="2">
        <v>5.3</v>
      </c>
      <c r="K245" s="2">
        <f t="shared" si="6"/>
        <v>7.3</v>
      </c>
      <c r="L245" s="2">
        <f t="shared" si="7"/>
        <v>5.8</v>
      </c>
      <c r="M245">
        <v>8.6</v>
      </c>
      <c r="N245" s="2">
        <v>1442208.5919999999</v>
      </c>
      <c r="O245" s="2">
        <v>701832.64599999995</v>
      </c>
      <c r="P245" s="2">
        <v>7659.7030000000004</v>
      </c>
      <c r="Q245" s="2">
        <v>246793.04699999999</v>
      </c>
      <c r="R245" s="2">
        <v>230655.87299999999</v>
      </c>
      <c r="S245" s="2">
        <v>366618.74200000003</v>
      </c>
      <c r="T245" s="2">
        <v>156856.323</v>
      </c>
      <c r="U245" s="2">
        <f>SUM(bs_rates_ovt[[#This Row],[deposits_overnight]:[other_funding]])</f>
        <v>3152624.926</v>
      </c>
    </row>
    <row r="246" spans="1:21">
      <c r="A246" s="1">
        <v>45778</v>
      </c>
      <c r="B246">
        <v>335487.40600000002</v>
      </c>
      <c r="C246">
        <v>1286225.6980000001</v>
      </c>
      <c r="D246">
        <v>716453.55500000005</v>
      </c>
      <c r="E246">
        <v>50312.451000000001</v>
      </c>
      <c r="F246">
        <v>111790.02099999999</v>
      </c>
      <c r="G246" s="3">
        <v>1409549.1059999999</v>
      </c>
      <c r="H246">
        <v>3909818.2369999997</v>
      </c>
      <c r="I246" s="2">
        <v>5.1988888888888898</v>
      </c>
      <c r="J246" s="2">
        <v>5.41</v>
      </c>
      <c r="K246" s="2">
        <f t="shared" si="6"/>
        <v>7.41</v>
      </c>
      <c r="L246" s="2">
        <f t="shared" si="7"/>
        <v>5.91</v>
      </c>
      <c r="M246">
        <v>8.4500000000000011</v>
      </c>
      <c r="N246" s="2">
        <v>1453464.0009999999</v>
      </c>
      <c r="O246" s="2">
        <v>706391.64500000002</v>
      </c>
      <c r="P246" s="2">
        <v>8655.6669999999995</v>
      </c>
      <c r="Q246" s="2">
        <v>252163.981</v>
      </c>
      <c r="R246" s="2">
        <v>229711.52100000001</v>
      </c>
      <c r="S246" s="2">
        <v>363305.179</v>
      </c>
      <c r="T246" s="2">
        <v>146326.084</v>
      </c>
      <c r="U246" s="2">
        <f>SUM(bs_rates_ovt[[#This Row],[deposits_overnight]:[other_funding]])</f>
        <v>3160018.0779999997</v>
      </c>
    </row>
    <row r="247" spans="1:21">
      <c r="A247" s="1">
        <v>45809</v>
      </c>
      <c r="B247">
        <v>351315.05099999998</v>
      </c>
      <c r="C247">
        <v>1278229.078</v>
      </c>
      <c r="D247">
        <v>730830.90099999995</v>
      </c>
      <c r="E247">
        <v>50851.218000000001</v>
      </c>
      <c r="F247">
        <v>112241.886</v>
      </c>
      <c r="G247" s="3">
        <v>1415619.6939999999</v>
      </c>
      <c r="H247">
        <v>3939087.8279999997</v>
      </c>
      <c r="I247" s="2">
        <v>5.0411111111111104</v>
      </c>
      <c r="J247" s="2">
        <v>5.53</v>
      </c>
      <c r="K247" s="2">
        <f t="shared" si="6"/>
        <v>7.53</v>
      </c>
      <c r="L247" s="2">
        <f t="shared" si="7"/>
        <v>6.03</v>
      </c>
      <c r="M247">
        <v>8.34</v>
      </c>
      <c r="N247" s="2">
        <v>1492820.5260000001</v>
      </c>
      <c r="O247" s="2">
        <v>676339.20200000005</v>
      </c>
      <c r="P247" s="2">
        <v>10995.14</v>
      </c>
      <c r="Q247" s="2">
        <v>270718.299</v>
      </c>
      <c r="R247" s="2">
        <v>235760.72500000001</v>
      </c>
      <c r="S247" s="2">
        <v>366575.43900000001</v>
      </c>
      <c r="T247" s="2">
        <v>148207.44699999999</v>
      </c>
      <c r="U247" s="2">
        <f>SUM(bs_rates_ovt[[#This Row],[deposits_overnight]:[other_funding]])</f>
        <v>3201416.7780000004</v>
      </c>
    </row>
    <row r="248" spans="1:21">
      <c r="A248" s="1">
        <v>45839</v>
      </c>
      <c r="B248">
        <v>320468.21500000003</v>
      </c>
      <c r="C248">
        <v>1314401.3740000001</v>
      </c>
      <c r="D248">
        <v>726392.44400000002</v>
      </c>
      <c r="E248">
        <v>51343.527000000002</v>
      </c>
      <c r="F248">
        <v>114159.049</v>
      </c>
      <c r="G248" s="3">
        <v>1416720.0419999999</v>
      </c>
      <c r="H248">
        <v>3943484.6510000005</v>
      </c>
      <c r="I248" s="2">
        <v>4.8833333333333302</v>
      </c>
      <c r="J248" s="2">
        <v>5.34</v>
      </c>
      <c r="K248" s="2">
        <f t="shared" si="6"/>
        <v>7.34</v>
      </c>
      <c r="L248" s="2">
        <f t="shared" si="7"/>
        <v>5.84</v>
      </c>
      <c r="M248">
        <v>8.1199999999999992</v>
      </c>
      <c r="N248" s="2">
        <v>1484819.26</v>
      </c>
      <c r="O248" s="2">
        <v>704058.63600000006</v>
      </c>
      <c r="P248" s="2">
        <v>8343.0730000000003</v>
      </c>
      <c r="Q248" s="2">
        <v>255705.15900000001</v>
      </c>
      <c r="R248" s="2">
        <v>232619.63</v>
      </c>
      <c r="S248" s="2">
        <v>363958.72600000002</v>
      </c>
      <c r="T248" s="2">
        <v>140469.44099999999</v>
      </c>
      <c r="U248" s="2">
        <f>SUM(bs_rates_ovt[[#This Row],[deposits_overnight]:[other_funding]])</f>
        <v>3189973.9250000003</v>
      </c>
    </row>
    <row r="249" spans="1:21">
      <c r="A249" s="1">
        <v>45870</v>
      </c>
      <c r="B249">
        <v>332896.03600000002</v>
      </c>
      <c r="C249">
        <v>1307786.2709999999</v>
      </c>
      <c r="D249">
        <v>736877.76599999995</v>
      </c>
      <c r="E249">
        <v>51096.928</v>
      </c>
      <c r="F249">
        <v>113385.493</v>
      </c>
      <c r="G249" s="3">
        <v>1427372.115</v>
      </c>
      <c r="H249">
        <v>3969414.6089999992</v>
      </c>
      <c r="I249" s="2">
        <v>4.6888888888888864</v>
      </c>
      <c r="J249" s="2">
        <v>5.4</v>
      </c>
      <c r="K249" s="2">
        <f t="shared" si="6"/>
        <v>7.4</v>
      </c>
      <c r="L249" s="2">
        <f t="shared" si="7"/>
        <v>5.9</v>
      </c>
      <c r="M249">
        <v>8</v>
      </c>
      <c r="N249" s="2">
        <v>1489341.2080000001</v>
      </c>
      <c r="O249" s="2">
        <v>711159.049</v>
      </c>
      <c r="P249" s="2">
        <v>11530.352000000001</v>
      </c>
      <c r="Q249" s="2">
        <v>256870.87899999999</v>
      </c>
      <c r="R249" s="2">
        <v>231407.459</v>
      </c>
      <c r="S249" s="2">
        <v>361263.92700000003</v>
      </c>
      <c r="T249" s="2">
        <v>140315.86199999999</v>
      </c>
      <c r="U249" s="2">
        <f>SUM(bs_rates_ovt[[#This Row],[deposits_overnight]:[other_funding]])</f>
        <v>3201888.7360000005</v>
      </c>
    </row>
    <row r="250" spans="1:21">
      <c r="A250" s="1">
        <v>45901</v>
      </c>
      <c r="B250">
        <v>346072.38</v>
      </c>
      <c r="C250">
        <v>1305284.6459999999</v>
      </c>
      <c r="D250">
        <v>756543.76500000001</v>
      </c>
      <c r="E250">
        <v>37832.396999999997</v>
      </c>
      <c r="F250">
        <v>113888.978</v>
      </c>
      <c r="G250" s="3">
        <v>1430231.433</v>
      </c>
      <c r="H250">
        <v>3989853.5990000004</v>
      </c>
      <c r="I250" s="2">
        <v>4.4944444444444436</v>
      </c>
      <c r="J250" s="2">
        <v>5.47</v>
      </c>
      <c r="K250" s="2">
        <f t="shared" si="6"/>
        <v>7.47</v>
      </c>
      <c r="L250" s="2">
        <f t="shared" si="7"/>
        <v>5.97</v>
      </c>
      <c r="M250">
        <v>7.9699999999999989</v>
      </c>
      <c r="N250" s="2">
        <v>1508440.66</v>
      </c>
      <c r="O250" s="2">
        <v>698570.91599999997</v>
      </c>
      <c r="P250" s="2">
        <v>9852.5220000000008</v>
      </c>
      <c r="Q250" s="2">
        <v>236945.08600000001</v>
      </c>
      <c r="R250" s="2">
        <v>234359.052</v>
      </c>
      <c r="S250" s="2">
        <v>360054.02799999999</v>
      </c>
      <c r="T250" s="2">
        <v>136399.04500000001</v>
      </c>
      <c r="U250" s="2">
        <f>SUM(bs_rates_ovt[[#This Row],[deposits_overnight]:[other_funding]])</f>
        <v>3184621.3089999999</v>
      </c>
    </row>
    <row r="251" spans="1:21">
      <c r="A251" s="1">
        <v>45931</v>
      </c>
      <c r="B251">
        <v>347575.47600000002</v>
      </c>
      <c r="C251">
        <v>1338419.3629999999</v>
      </c>
      <c r="D251">
        <v>769901.45400000003</v>
      </c>
      <c r="E251">
        <v>37302.421999999999</v>
      </c>
      <c r="F251">
        <v>113991.4</v>
      </c>
      <c r="G251" s="3">
        <v>1436051.11</v>
      </c>
      <c r="H251">
        <v>4043241.2249999996</v>
      </c>
      <c r="I251" s="2">
        <v>4.3</v>
      </c>
      <c r="J251" s="2">
        <v>5.4</v>
      </c>
      <c r="K251" s="2">
        <f t="shared" si="6"/>
        <v>7.4</v>
      </c>
      <c r="L251" s="2">
        <f t="shared" si="7"/>
        <v>5.9</v>
      </c>
      <c r="M251">
        <v>7.76</v>
      </c>
      <c r="N251" s="2">
        <v>1508803.4269999999</v>
      </c>
      <c r="O251" s="2">
        <v>721989.28500000003</v>
      </c>
      <c r="P251" s="2">
        <v>9655.8700000000008</v>
      </c>
      <c r="Q251" s="2">
        <v>229352.91899999999</v>
      </c>
      <c r="R251" s="2">
        <v>239866.53</v>
      </c>
      <c r="S251" s="2">
        <v>368391.98200000002</v>
      </c>
      <c r="T251" s="2">
        <v>135008.967</v>
      </c>
      <c r="U251" s="2">
        <f>SUM(bs_rates_ovt[[#This Row],[deposits_overnight]:[other_funding]])</f>
        <v>3213068.98</v>
      </c>
    </row>
    <row r="252" spans="1:21">
      <c r="A252" s="1">
        <v>45962</v>
      </c>
      <c r="B252">
        <v>354993.022</v>
      </c>
      <c r="C252">
        <v>1350108.7490000001</v>
      </c>
      <c r="D252">
        <v>772464.049</v>
      </c>
      <c r="E252">
        <v>37445.061999999998</v>
      </c>
      <c r="F252">
        <v>113756.54</v>
      </c>
      <c r="G252" s="3">
        <v>1459864.2879999999</v>
      </c>
      <c r="H252">
        <v>4088631.71</v>
      </c>
      <c r="I252" s="2">
        <v>4.2</v>
      </c>
      <c r="J252" s="2">
        <v>5.28</v>
      </c>
      <c r="K252" s="2">
        <f t="shared" si="6"/>
        <v>7.28</v>
      </c>
      <c r="L252" s="2">
        <f t="shared" si="7"/>
        <v>5.78</v>
      </c>
      <c r="M252">
        <v>7.6499999999999995</v>
      </c>
      <c r="N252" s="2">
        <v>1532216.0970000001</v>
      </c>
      <c r="O252" s="2">
        <v>713200.68200000003</v>
      </c>
      <c r="P252" s="2">
        <v>12378.558999999999</v>
      </c>
      <c r="Q252" s="2">
        <v>213794.95499999999</v>
      </c>
      <c r="R252" s="2">
        <v>252259.005</v>
      </c>
      <c r="S252" s="2">
        <v>367725.62400000001</v>
      </c>
      <c r="T252" s="2">
        <v>149789.462</v>
      </c>
      <c r="U252" s="2">
        <f>SUM(bs_rates_ovt[[#This Row],[deposits_overnight]:[other_funding]])</f>
        <v>3241364.3839999996</v>
      </c>
    </row>
    <row r="253" spans="1:21">
      <c r="A253" s="1">
        <v>45992</v>
      </c>
      <c r="B253">
        <v>349559.29100000003</v>
      </c>
      <c r="C253">
        <v>1333110.5649999999</v>
      </c>
      <c r="D253">
        <v>789111.55099999998</v>
      </c>
      <c r="E253">
        <v>41425.430999999997</v>
      </c>
      <c r="F253">
        <v>120520.867</v>
      </c>
      <c r="G253" s="3">
        <v>1445174.8359999999</v>
      </c>
      <c r="H253">
        <v>4078902.5409999993</v>
      </c>
      <c r="I253" s="2">
        <v>4.0999999999999996</v>
      </c>
      <c r="J253" s="2">
        <v>5.21</v>
      </c>
      <c r="K253" s="2">
        <f t="shared" si="6"/>
        <v>7.21</v>
      </c>
      <c r="L253" s="2">
        <f t="shared" si="7"/>
        <v>5.71</v>
      </c>
      <c r="M253">
        <v>7.4399999999999995</v>
      </c>
      <c r="N253" s="2">
        <v>1614352.0460000001</v>
      </c>
      <c r="O253" s="2">
        <v>677477.40500000003</v>
      </c>
      <c r="P253" s="2">
        <v>6681.4089999999997</v>
      </c>
      <c r="Q253" s="2">
        <v>194079.84899999999</v>
      </c>
      <c r="R253" s="2">
        <v>255944.91200000001</v>
      </c>
      <c r="S253" s="2">
        <v>364965.739</v>
      </c>
      <c r="T253" s="2">
        <v>138787.38500000001</v>
      </c>
      <c r="U253" s="2">
        <f>SUM(bs_rates_ovt[[#This Row],[deposits_overnight]:[other_funding]])</f>
        <v>3252288.7450000001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D7F7-0472-F945-BF8C-6B596F2E07CE}">
  <dimension ref="A1:B6"/>
  <sheetViews>
    <sheetView workbookViewId="0">
      <selection sqref="A1:A6"/>
    </sheetView>
  </sheetViews>
  <sheetFormatPr baseColWidth="10" defaultRowHeight="16"/>
  <sheetData>
    <row r="1" spans="1:2" ht="34">
      <c r="A1" s="5" t="s">
        <v>0</v>
      </c>
      <c r="B1">
        <v>0</v>
      </c>
    </row>
    <row r="2" spans="1:2" ht="34">
      <c r="A2" s="5" t="s">
        <v>1</v>
      </c>
      <c r="B2" s="5" t="s">
        <v>9</v>
      </c>
    </row>
    <row r="3" spans="1:2" ht="51">
      <c r="A3" s="5" t="s">
        <v>2</v>
      </c>
      <c r="B3" s="5" t="s">
        <v>8</v>
      </c>
    </row>
    <row r="4" spans="1:2" ht="51">
      <c r="A4" s="5" t="s">
        <v>3</v>
      </c>
      <c r="B4" s="5" t="s">
        <v>10</v>
      </c>
    </row>
    <row r="5" spans="1:2" ht="51">
      <c r="A5" s="5" t="s">
        <v>4</v>
      </c>
      <c r="B5" s="5" t="s">
        <v>11</v>
      </c>
    </row>
    <row r="6" spans="1:2" ht="34">
      <c r="A6" s="5" t="s">
        <v>5</v>
      </c>
      <c r="B6" s="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702C-2F84-D24A-B37D-2D412E61F28B}">
  <dimension ref="A1:D7"/>
  <sheetViews>
    <sheetView workbookViewId="0">
      <selection sqref="A1:D7"/>
    </sheetView>
  </sheetViews>
  <sheetFormatPr baseColWidth="10" defaultRowHeight="16"/>
  <cols>
    <col min="1" max="1" width="16.5" bestFit="1" customWidth="1"/>
  </cols>
  <sheetData>
    <row r="1" spans="1:4">
      <c r="A1" t="s">
        <v>19</v>
      </c>
      <c r="B1" t="s">
        <v>21</v>
      </c>
      <c r="C1" t="s">
        <v>20</v>
      </c>
      <c r="D1" t="s">
        <v>26</v>
      </c>
    </row>
    <row r="2" spans="1:4">
      <c r="A2" t="s">
        <v>0</v>
      </c>
      <c r="B2" t="s">
        <v>22</v>
      </c>
      <c r="C2">
        <v>0</v>
      </c>
      <c r="D2">
        <v>0</v>
      </c>
    </row>
    <row r="3" spans="1:4">
      <c r="A3" t="s">
        <v>1</v>
      </c>
      <c r="B3" t="s">
        <v>23</v>
      </c>
      <c r="C3">
        <v>1</v>
      </c>
      <c r="D3">
        <v>1</v>
      </c>
    </row>
    <row r="4" spans="1:4">
      <c r="A4" t="s">
        <v>2</v>
      </c>
      <c r="B4" t="s">
        <v>22</v>
      </c>
      <c r="C4">
        <v>0</v>
      </c>
      <c r="D4">
        <v>0</v>
      </c>
    </row>
    <row r="5" spans="1:4">
      <c r="A5" t="s">
        <v>3</v>
      </c>
      <c r="B5" t="s">
        <v>24</v>
      </c>
      <c r="C5">
        <v>0.15</v>
      </c>
      <c r="D5">
        <v>0.5</v>
      </c>
    </row>
    <row r="6" spans="1:4">
      <c r="A6" t="s">
        <v>4</v>
      </c>
      <c r="B6" t="s">
        <v>23</v>
      </c>
      <c r="C6">
        <v>1</v>
      </c>
      <c r="D6">
        <v>0.5</v>
      </c>
    </row>
    <row r="7" spans="1:4">
      <c r="A7" t="s">
        <v>5</v>
      </c>
      <c r="B7" t="s">
        <v>23</v>
      </c>
      <c r="C7">
        <v>1</v>
      </c>
      <c r="D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48D0-6001-DA45-AEB9-D32DDFCBEA06}">
  <dimension ref="A1:C6"/>
  <sheetViews>
    <sheetView workbookViewId="0">
      <selection sqref="A1:C6"/>
    </sheetView>
  </sheetViews>
  <sheetFormatPr baseColWidth="10" defaultRowHeight="16"/>
  <cols>
    <col min="1" max="1" width="28" bestFit="1" customWidth="1"/>
    <col min="2" max="2" width="13.83203125" bestFit="1" customWidth="1"/>
    <col min="3" max="3" width="14.1640625" bestFit="1" customWidth="1"/>
  </cols>
  <sheetData>
    <row r="1" spans="1:3">
      <c r="A1" t="s">
        <v>25</v>
      </c>
      <c r="B1" t="s">
        <v>27</v>
      </c>
      <c r="C1" t="s">
        <v>28</v>
      </c>
    </row>
    <row r="2" spans="1:3">
      <c r="A2" t="s">
        <v>14</v>
      </c>
      <c r="B2">
        <v>5</v>
      </c>
      <c r="C2">
        <v>10</v>
      </c>
    </row>
    <row r="3" spans="1:3">
      <c r="A3" t="s">
        <v>15</v>
      </c>
      <c r="B3">
        <v>5</v>
      </c>
      <c r="C3">
        <v>10</v>
      </c>
    </row>
    <row r="4" spans="1:3">
      <c r="A4" t="s">
        <v>16</v>
      </c>
      <c r="B4">
        <v>0</v>
      </c>
      <c r="C4">
        <v>25</v>
      </c>
    </row>
    <row r="5" spans="1:3">
      <c r="A5" t="s">
        <v>17</v>
      </c>
      <c r="B5">
        <v>20</v>
      </c>
      <c r="C5">
        <v>40</v>
      </c>
    </row>
    <row r="6" spans="1:3">
      <c r="A6" t="s">
        <v>18</v>
      </c>
      <c r="B6">
        <v>40</v>
      </c>
      <c r="C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bs_rates_ovt</vt:lpstr>
      <vt:lpstr>Sheet6</vt:lpstr>
      <vt:lpstr>hqla_haircut</vt:lpstr>
      <vt:lpstr>liquidity_runoff_rate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 Anh Le</dc:creator>
  <cp:lastModifiedBy>Ky Anh Le</cp:lastModifiedBy>
  <dcterms:created xsi:type="dcterms:W3CDTF">2026-03-16T11:19:36Z</dcterms:created>
  <dcterms:modified xsi:type="dcterms:W3CDTF">2026-03-28T16:48:19Z</dcterms:modified>
</cp:coreProperties>
</file>